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activeTab="2"/>
  </bookViews>
  <sheets>
    <sheet name="Industry Indicators" sheetId="1" r:id="rId1"/>
    <sheet name="指标整理" sheetId="2" r:id="rId2"/>
    <sheet name="需求1—主线板块确认" sheetId="5" r:id="rId3"/>
    <sheet name="需求1-产品文档" sheetId="3" r:id="rId4"/>
    <sheet name="报表2—主线板块龙头" sheetId="4" r:id="rId5"/>
    <sheet name="Sheet3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<sst xmlns="http://schemas.openxmlformats.org/spreadsheetml/2006/main" count="623" uniqueCount="470">
  <si>
    <t>指标名称</t>
  </si>
  <si>
    <t>指标类型</t>
  </si>
  <si>
    <t>核心公式/逻辑</t>
  </si>
  <si>
    <t>数据来源</t>
  </si>
  <si>
    <t>更新频率</t>
  </si>
  <si>
    <t>价值说明</t>
  </si>
  <si>
    <t>供需拐点指标</t>
  </si>
  <si>
    <t>核心缺失</t>
  </si>
  <si>
    <t>需求增速变化 - 供给增速变化</t>
  </si>
  <si>
    <t>产能/出货数据</t>
  </si>
  <si>
    <t>月</t>
  </si>
  <si>
    <t>捕捉行业拐点</t>
  </si>
  <si>
    <t>景气×资金共振</t>
  </si>
  <si>
    <t>进阶指标</t>
  </si>
  <si>
    <t>景气评分 × 资金流入</t>
  </si>
  <si>
    <t>ETF/北向资金</t>
  </si>
  <si>
    <t>日</t>
  </si>
  <si>
    <t>确认趋势有效性</t>
  </si>
  <si>
    <t>库存周期</t>
  </si>
  <si>
    <t>库存+价格+需求分类</t>
  </si>
  <si>
    <t>行业库存/价格</t>
  </si>
  <si>
    <t>周/月</t>
  </si>
  <si>
    <t>周期股核心驱动</t>
  </si>
  <si>
    <t>行业拥挤度</t>
  </si>
  <si>
    <t>机构持仓+换手率+ETF占比</t>
  </si>
  <si>
    <t>基金持仓/交易数据</t>
  </si>
  <si>
    <t>周</t>
  </si>
  <si>
    <t>判断是否过热</t>
  </si>
  <si>
    <t>利润迁移指数</t>
  </si>
  <si>
    <t>稀缺指标</t>
  </si>
  <si>
    <t>上游利润变化 - 下游利润变化
利润迁移 =
上游毛利变化
- 中游毛利变化
- 下游毛利变化</t>
  </si>
  <si>
    <t>财报拆分</t>
  </si>
  <si>
    <t>季度</t>
  </si>
  <si>
    <t>找到最赚钱环节</t>
  </si>
  <si>
    <t>政策强度指数</t>
  </si>
  <si>
    <t>政策数量+级别+关键词</t>
  </si>
  <si>
    <t>政策公告</t>
  </si>
  <si>
    <t>A股重要驱动</t>
  </si>
  <si>
    <t>叙事强度指数</t>
  </si>
  <si>
    <t>前沿指标</t>
  </si>
  <si>
    <t>新闻/研报数量 × 情绪</t>
  </si>
  <si>
    <t>新闻/研报/社媒</t>
  </si>
  <si>
    <t>衡量市场情绪</t>
  </si>
  <si>
    <t>增速加速度</t>
  </si>
  <si>
    <t>优化指标</t>
  </si>
  <si>
    <t>本期增速 - 上期增速</t>
  </si>
  <si>
    <t>财报数据</t>
  </si>
  <si>
    <t>识别趋势变化</t>
  </si>
  <si>
    <t>库存水平</t>
  </si>
  <si>
    <t>库存/库存周转</t>
  </si>
  <si>
    <t>财报/API</t>
  </si>
  <si>
    <t>API调用</t>
  </si>
  <si>
    <t>利润</t>
  </si>
  <si>
    <t>盈利能力</t>
  </si>
  <si>
    <t>净利润/毛利率</t>
  </si>
  <si>
    <t>API</t>
  </si>
  <si>
    <t>扩展</t>
  </si>
  <si>
    <t>政策</t>
  </si>
  <si>
    <t>政策强度</t>
  </si>
  <si>
    <t>爬虫</t>
  </si>
  <si>
    <t>不定期</t>
  </si>
  <si>
    <t>爬虫+NLP</t>
  </si>
  <si>
    <t>产业链</t>
  </si>
  <si>
    <t>利润分布</t>
  </si>
  <si>
    <t>研报</t>
  </si>
  <si>
    <t>每月</t>
  </si>
  <si>
    <t>人工+结构化</t>
  </si>
  <si>
    <t>行业评分 =
估值(20%)
+ 景气(30%)
+ 供需(20%)
+ 资金(15%)
+ 预期差(15%)</t>
  </si>
  <si>
    <t>买入信号 =
景气上行
+ 供需改善
+ 预期差为正
+ 资金流入
+ 不拥挤</t>
  </si>
  <si>
    <t xml:space="preserve">| 信号 | 含义    |
| -- | ----- |
| 强买 | 全满足   |
| 买入 | 大部分满足 |
| 观望 | 中性    |
| 卖出 | 转弱    |
</t>
  </si>
  <si>
    <t>指标类别</t>
  </si>
  <si>
    <t>具体指标</t>
  </si>
  <si>
    <t>具体指标计算方式</t>
  </si>
  <si>
    <t>数据来源类型</t>
  </si>
  <si>
    <t>景气度</t>
  </si>
  <si>
    <t>需求-景气度</t>
  </si>
  <si>
    <t>行业需求</t>
  </si>
  <si>
    <t>出货量</t>
  </si>
  <si>
    <t>行业协会（最权威）
光模块：C&amp;C / LightCounting
新能源车：中汽协
半导体：SIA / WSTS
海关数据（替代）
中国海关总署（出口量）
公司侧（替代）
龙头公司公告（比如：出货、产能利用率）</t>
  </si>
  <si>
    <t>搞不定</t>
  </si>
  <si>
    <t>订单</t>
  </si>
  <si>
    <t>计算步骤：
--   1) 行业口径：AkShare 申万三级 sw_index_third_info / sw_index_third_cons。
--   2) 成分股范围：默认按「市值」降序取前 N 只（CLI --max-stocks，默认 60；0 表示全部成分，请求极慢）。
--   3) 对每只成分股拉取同花顺资产负债表 stock_financial_debt_ths(按报告期)，取列「合同负债」
--      在最新报告期（报告期排序后最后一行）的余额，解析为浮点数（源站多为亿元，带「亿」字时尽力解析）。
--   4) 将步骤 3 中成功解析的余额做求和：order_volume_proxy = SUM(合同负债_latest)。
--   5) stocks_sampled 为实际参与循环的成分股数；stocks_with_contract_liab 为成功取到合同负债的股数。
--
-- 业务含义：依据会计准则，「合同负债」主要核算已收客户对价、尚未履行履约义务的金额，实务中常作为
--   在手订单、订单蓄水规模的近似；本指标为行业层面加总代理，非物理「订单数量」，亦非全部 A 股行业
--   均适用（如部分金融企业报表无该科目，合计可能偏小）。</t>
  </si>
  <si>
    <t>上市公司财报（核心）
“合同负债”
“在手订单”
调研纪要（Wind / 同花顺）</t>
  </si>
  <si>
    <t>完成</t>
  </si>
  <si>
    <t>合同负债同比增速</t>
  </si>
  <si>
    <t>公司财报（现金流量表）</t>
  </si>
  <si>
    <t>出货增速</t>
  </si>
  <si>
    <t>渗透率</t>
  </si>
  <si>
    <t>行业需求评分</t>
  </si>
  <si>
    <t>Demand_score = AVG(
  percentile_rank(CAPEX增速),
  percentile_rank(出货增速),
  percentile_rank(渗透率)
)</t>
  </si>
  <si>
    <t>供给-景气度</t>
  </si>
  <si>
    <t>产能</t>
  </si>
  <si>
    <t>交期</t>
  </si>
  <si>
    <t>产能利用率</t>
  </si>
  <si>
    <t>扩产增速</t>
  </si>
  <si>
    <t>产能评分</t>
  </si>
  <si>
    <t>Supply_score = 
0.5*percentile_rank(交期) +
0.3*percentile_rank(产能利用率) -
0.2*percentile_rank(扩产增速)</t>
  </si>
  <si>
    <t>价格-景气度</t>
  </si>
  <si>
    <t>产品价格</t>
  </si>
  <si>
    <t>ASP同比</t>
  </si>
  <si>
    <t>ASP环比</t>
  </si>
  <si>
    <t>产品价格变动评分</t>
  </si>
  <si>
    <t>Price_score = 
0.6*percentile_rank(ASP_yoy) +
0.4*percentile_rank(ASP_mom)</t>
  </si>
  <si>
    <t>景气度值</t>
  </si>
  <si>
    <t>景气度评分</t>
  </si>
  <si>
    <t>Prosperity = 
0.4*Demand_score +
0.3*Supply_score +
0.3*Price_score</t>
  </si>
  <si>
    <t>兑现度</t>
  </si>
  <si>
    <t>兑现度-收入增速</t>
  </si>
  <si>
    <t>收入增速率</t>
  </si>
  <si>
    <t>收入增速</t>
  </si>
  <si>
    <t>revenue_yoy</t>
  </si>
  <si>
    <t>收入加速</t>
  </si>
  <si>
    <t>revenue_yoy - 上期</t>
  </si>
  <si>
    <t>兑现度-盈利质量</t>
  </si>
  <si>
    <t>盈利质量率</t>
  </si>
  <si>
    <t>毛利率</t>
  </si>
  <si>
    <t>毛利变化</t>
  </si>
  <si>
    <t>兑现度-订单支撑</t>
  </si>
  <si>
    <t>订单支撑率</t>
  </si>
  <si>
    <t>backlog增速</t>
  </si>
  <si>
    <t>backlog_yoy</t>
  </si>
  <si>
    <t>订单覆盖率</t>
  </si>
  <si>
    <t>backlog / revenue</t>
  </si>
  <si>
    <t>兑现度值</t>
  </si>
  <si>
    <t>兑现度评分</t>
  </si>
  <si>
    <t>Realization = 
0.4*percentile_rank(收入增速) +
0.2*percentile_rank(收入加速) +
0.2*percentile_rank(毛利率) +
0.2*percentile_rank(订单覆盖率)</t>
  </si>
  <si>
    <t>市场预期</t>
  </si>
  <si>
    <t>市场预期-估值</t>
  </si>
  <si>
    <t>PE/PS</t>
  </si>
  <si>
    <t>PE_TTM / PS</t>
  </si>
  <si>
    <t>估值分位</t>
  </si>
  <si>
    <t>PE历史分位</t>
  </si>
  <si>
    <t>估值评分</t>
  </si>
  <si>
    <t>Valuation_score = 
0.7*percentile_rank(PE分位) +
0.3*percentile_rank(PEG)</t>
  </si>
  <si>
    <t>市场预期-一致预期</t>
  </si>
  <si>
    <t>未来2年收入增速</t>
  </si>
  <si>
    <t>预期上调幅度</t>
  </si>
  <si>
    <t>一致预期评分</t>
  </si>
  <si>
    <t>Consensus_score =
0.6*percentile_rank(未来增速) +
0.4*percentile_rank(预期上调)</t>
  </si>
  <si>
    <t>市场预期-资金</t>
  </si>
  <si>
    <t>资金强度</t>
  </si>
  <si>
    <t>主力净流入-成交额</t>
  </si>
  <si>
    <t>资金趋势</t>
  </si>
  <si>
    <t>MA5 - MA20</t>
  </si>
  <si>
    <t>资金评分</t>
  </si>
  <si>
    <t>Flow_score =
0.5*percentile_rank(资金强度) +
0.5*percentile_rank(资金趋势)</t>
  </si>
  <si>
    <t>市场预期值</t>
  </si>
  <si>
    <t>市场预期值差</t>
  </si>
  <si>
    <t>Expectation = 
0.5*Valuation_score +
0.2*Consensus_score +
0.3*Flow_score</t>
  </si>
  <si>
    <t>结果-数据标准化</t>
  </si>
  <si>
    <t>情况1（最好的机会）：
| 指标   | 状态 |
| ---- | -- |
| 景气度  | 高  |
| 兑现度  | 高  |
| 市场预期 | 低  |</t>
  </si>
  <si>
    <t>情况2（现在很多CPO的状态）| 指标   | 状态 |
| ---- | -- |
| 景气度  | 高  |
| 兑现度  | 中  |
| 市场预期 | 很高 |</t>
  </si>
  <si>
    <t>情况3（危险）：
| 指标  | 状态  |
| --- | --- |
| 景气度 | 下降  |
| 兑现度 | 下降  |
| 预期  | 还很高 |</t>
  </si>
  <si>
    <t>Sheet 1: 主线板块量化逻辑总览</t>
  </si>
  <si>
    <t>维度</t>
  </si>
  <si>
    <t>本质</t>
  </si>
  <si>
    <t>权重建议</t>
  </si>
  <si>
    <t>核心指标</t>
  </si>
  <si>
    <t>有没有持续大资金进入</t>
  </si>
  <si>
    <t>资金流入强度、资金连续性、资金加速度</t>
  </si>
  <si>
    <t>趋势强度</t>
  </si>
  <si>
    <t>是否进入主升浪</t>
  </si>
  <si>
    <t>相对强度(RS)、趋势结构、回撤修复速度</t>
  </si>
  <si>
    <t>市场热度</t>
  </si>
  <si>
    <t>是否成为市场焦点</t>
  </si>
  <si>
    <t>成交额占比、涨停扩散率、龙头带动性</t>
  </si>
  <si>
    <t>产业景气</t>
  </si>
  <si>
    <t>基本面是否支撑</t>
  </si>
  <si>
    <t>业绩增速、机构预期修正</t>
  </si>
  <si>
    <t>扩散效应</t>
  </si>
  <si>
    <t>是否形成赚钱效应</t>
  </si>
  <si>
    <t>上涨家数占比、20cm扩散</t>
  </si>
  <si>
    <r>
      <t>主线得分公式</t>
    </r>
    <r>
      <rPr>
        <sz val="12"/>
        <color rgb="FF060A26"/>
        <rFont val="Segoe UI"/>
        <charset val="134"/>
      </rPr>
      <t>：</t>
    </r>
  </si>
  <si>
    <t>= 资金强度 × 35% + 趋势强度 × 25% + 市场热度 × 15% + 产业景气 × 15% + 扩散效应 × 10%</t>
  </si>
  <si>
    <t>指标</t>
  </si>
  <si>
    <t>公式/定义</t>
  </si>
  <si>
    <t>意义</t>
  </si>
  <si>
    <t>资金流入强度</t>
  </si>
  <si>
    <t>行业净流入 / 行业成交额</t>
  </si>
  <si>
    <t>排除成交额影响，识别真实抢筹</t>
  </si>
  <si>
    <t>资金连续性</t>
  </si>
  <si>
    <t>连续净流入天数（如5~10天）</t>
  </si>
  <si>
    <t>判断是否持续获得增量资金</t>
  </si>
  <si>
    <t>资金加速度</t>
  </si>
  <si>
    <t>今日净流入 - 过去5日平均净流入</t>
  </si>
  <si>
    <t>识别抢筹启动信号</t>
  </si>
  <si>
    <t>相对强度(RS)</t>
  </si>
  <si>
    <t>行业涨幅 - 沪深300涨幅</t>
  </si>
  <si>
    <t>判断是否跑赢大盘</t>
  </si>
  <si>
    <t>趋势结构</t>
  </si>
  <si>
    <t>5日线 &gt; 10日线 &gt; 20日线 且 创60日新高</t>
  </si>
  <si>
    <t>确认主升浪</t>
  </si>
  <si>
    <t>回撤修复速度</t>
  </si>
  <si>
    <t>调整X%后恢复所需天数</t>
  </si>
  <si>
    <t>衡量抗跌性与强势程度</t>
  </si>
  <si>
    <t>成交额占比</t>
  </si>
  <si>
    <t>行业成交额 / 全市场成交额</t>
  </si>
  <si>
    <t>反映市场聚焦程度</t>
  </si>
  <si>
    <t>涨停扩散率</t>
  </si>
  <si>
    <t>行业当日涨停股票数量</t>
  </si>
  <si>
    <t>衡量情绪强度</t>
  </si>
  <si>
    <t>龙头带动性</t>
  </si>
  <si>
    <t>中军+趋势+补涨股同步上涨</t>
  </si>
  <si>
    <t>判断板块联动性</t>
  </si>
  <si>
    <t>产业景气（15%）</t>
  </si>
  <si>
    <t>业绩增速</t>
  </si>
  <si>
    <t>行业利润同比增速</t>
  </si>
  <si>
    <t>基本面支撑力度</t>
  </si>
  <si>
    <t>机构预期修正</t>
  </si>
  <si>
    <t>未来一年盈利预测是否持续上修</t>
  </si>
  <si>
    <t>反映长期信心</t>
  </si>
  <si>
    <t>扩散效应（10%）</t>
  </si>
  <si>
    <t>上涨家数占比</t>
  </si>
  <si>
    <t>行业内上涨股票数 / 总股票数</t>
  </si>
  <si>
    <t>赚钱效应广度</t>
  </si>
  <si>
    <t>20cm扩散</t>
  </si>
  <si>
    <t>板块内20%涨停（创业板/科创板）数量</t>
  </si>
  <si>
    <t>反映高风险偏好情绪</t>
  </si>
  <si>
    <t>Sheet 3: 主线评分系统与等级划分</t>
  </si>
  <si>
    <t>步骤</t>
  </si>
  <si>
    <t>操作说明</t>
  </si>
  <si>
    <t>Step 1</t>
  </si>
  <si>
    <t>计算各行业在五大维度的标准化得分（0-100）</t>
  </si>
  <si>
    <t>Step 2</t>
  </si>
  <si>
    <t>加权计算总分：总分 = Σ(维度得分 × 权重)</t>
  </si>
  <si>
    <t>Step 3</t>
  </si>
  <si>
    <t>滚动计算最近3日、5日、10日平均分，避免单日噪音</t>
  </si>
  <si>
    <t>Step 4</t>
  </si>
  <si>
    <t>按总分划分主线等级</t>
  </si>
  <si>
    <r>
      <t>主线等级标准</t>
    </r>
    <r>
      <rPr>
        <sz val="12"/>
        <color rgb="FF060A26"/>
        <rFont val="Segoe UI"/>
        <charset val="134"/>
      </rPr>
      <t>：</t>
    </r>
  </si>
  <si>
    <t>主线得分</t>
  </si>
  <si>
    <t>定义</t>
  </si>
  <si>
    <t>&gt;85</t>
  </si>
  <si>
    <t>超级主线</t>
  </si>
  <si>
    <t>70~85</t>
  </si>
  <si>
    <t>主线</t>
  </si>
  <si>
    <t>60~70</t>
  </si>
  <si>
    <t>轮动热点</t>
  </si>
  <si>
    <t>&lt;60</t>
  </si>
  <si>
    <t>跟风</t>
  </si>
  <si>
    <t>Sheet 4: 主线确认三阶段信号</t>
  </si>
  <si>
    <t>阶段</t>
  </si>
  <si>
    <t>特征</t>
  </si>
  <si>
    <t>量化信号</t>
  </si>
  <si>
    <t>第一阶段：资金试探</t>
  </si>
  <si>
    <t>小幅放量、龙头先涨</t>
  </si>
  <si>
    <t>净流入增加、龙头创阶段新高</t>
  </si>
  <si>
    <t>第二阶段：板块爆发</t>
  </si>
  <si>
    <t>连续大涨、涨停扩散</t>
  </si>
  <si>
    <t>成交占比↑、涨停数↑、RS持续&gt;0</t>
  </si>
  <si>
    <t>第三阶段：机构化</t>
  </si>
  <si>
    <t>趋势化上涨、大市值接力</t>
  </si>
  <si>
    <t>ETF持续流入、大票领涨、波动率下降</t>
  </si>
  <si>
    <t>Sheet 5: 系统输出示例（每日监控表）</t>
  </si>
  <si>
    <t>排名</t>
  </si>
  <si>
    <t>行业</t>
  </si>
  <si>
    <t>资金连续流入(天)</t>
  </si>
  <si>
    <t>RS(5日)</t>
  </si>
  <si>
    <t>涨停数</t>
  </si>
  <si>
    <t>等级</t>
  </si>
  <si>
    <t>创新药</t>
  </si>
  <si>
    <t>CPO</t>
  </si>
  <si>
    <t>电力设备</t>
  </si>
  <si>
    <t>一、核心数据层（最重要）</t>
  </si>
  <si>
    <t>Sheet 1: 系统数据层级架构</t>
  </si>
  <si>
    <t>层级</t>
  </si>
  <si>
    <t>内容</t>
  </si>
  <si>
    <t>说明</t>
  </si>
  <si>
    <t>L1</t>
  </si>
  <si>
    <t>股票基础行情</t>
  </si>
  <si>
    <t>所有计算的基础</t>
  </si>
  <si>
    <t>L2</t>
  </si>
  <si>
    <t>行业板块数据</t>
  </si>
  <si>
    <t>行业指数、成分股</t>
  </si>
  <si>
    <t>L3</t>
  </si>
  <si>
    <t>资金流数据</t>
  </si>
  <si>
    <t>主线识别最核心</t>
  </si>
  <si>
    <t>L4</t>
  </si>
  <si>
    <t>情绪数据</t>
  </si>
  <si>
    <t>涨停、涨跌家数等</t>
  </si>
  <si>
    <t>L5</t>
  </si>
  <si>
    <t>基本面/景气数据</t>
  </si>
  <si>
    <t>业绩、ROE等</t>
  </si>
  <si>
    <t>L6</t>
  </si>
  <si>
    <t>机构预期数据</t>
  </si>
  <si>
    <t>盈利预测修正</t>
  </si>
  <si>
    <t>L7</t>
  </si>
  <si>
    <t>宏观数据</t>
  </si>
  <si>
    <t>（可选，进阶）</t>
  </si>
  <si>
    <t>Sheet 2: 必须采集的核心数据表清单</t>
  </si>
  <si>
    <t>序号</t>
  </si>
  <si>
    <t>数据表名</t>
  </si>
  <si>
    <t>对应层级</t>
  </si>
  <si>
    <t>用途</t>
  </si>
  <si>
    <t>优先级</t>
  </si>
  <si>
    <t>stock_daily_di</t>
  </si>
  <si>
    <t>计算行业涨幅、RS、趋势等</t>
  </si>
  <si>
    <t>S</t>
  </si>
  <si>
    <t>industry_index_di</t>
  </si>
  <si>
    <t>行业主升浪、成交占比</t>
  </si>
  <si>
    <t>industry_fund_flow_di</t>
  </si>
  <si>
    <t>识别增量资金、主力动向</t>
  </si>
  <si>
    <t>stock_fund_flow_di</t>
  </si>
  <si>
    <t>识别龙头、补涨、扩散</t>
  </si>
  <si>
    <t>A</t>
  </si>
  <si>
    <t>limit_up_di</t>
  </si>
  <si>
    <t>赚钱效应、情绪周期</t>
  </si>
  <si>
    <t>market_breadth_di</t>
  </si>
  <si>
    <t>市场风险偏好</t>
  </si>
  <si>
    <t>industry_member_di</t>
  </si>
  <si>
    <t>行业聚合、联动分析</t>
  </si>
  <si>
    <t>financial_indicator_di</t>
  </si>
  <si>
    <t>景气度、业绩支撑</t>
  </si>
  <si>
    <t>institution_forecast_di</t>
  </si>
  <si>
    <t>预期上修信号</t>
  </si>
  <si>
    <t>etf_flow_di</t>
  </si>
  <si>
    <t>L3/L6</t>
  </si>
  <si>
    <t>机构加仓方向</t>
  </si>
  <si>
    <t>lhb_di</t>
  </si>
  <si>
    <t>游资 vs 机构主导</t>
  </si>
  <si>
    <t>B</t>
  </si>
  <si>
    <t>news_hot_di</t>
  </si>
  <si>
    <t>热点共识扩散</t>
  </si>
  <si>
    <t>📌 Sheet 3: 核心数据表字段定义</t>
  </si>
  <si>
    <r>
      <t xml:space="preserve">1. </t>
    </r>
    <r>
      <rPr>
        <b/>
        <sz val="12"/>
        <color rgb="FF060A26"/>
        <rFont val="宋体"/>
        <charset val="134"/>
      </rPr>
      <t>股票日线行情</t>
    </r>
    <r>
      <rPr>
        <b/>
        <sz val="12"/>
        <color rgb="FF060A26"/>
        <rFont val="Segoe UI"/>
        <charset val="134"/>
      </rPr>
      <t xml:space="preserve"> (</t>
    </r>
    <r>
      <rPr>
        <b/>
        <sz val="10.5"/>
        <color rgb="FF060A26"/>
        <rFont val="Consolas"/>
        <charset val="134"/>
      </rPr>
      <t>stock_daily_di</t>
    </r>
    <r>
      <rPr>
        <b/>
        <sz val="12"/>
        <color rgb="FF060A26"/>
        <rFont val="Segoe UI"/>
        <charset val="134"/>
      </rPr>
      <t>)</t>
    </r>
  </si>
  <si>
    <t>字段</t>
  </si>
  <si>
    <t>trade_date</t>
  </si>
  <si>
    <t>日期</t>
  </si>
  <si>
    <t>stock_code</t>
  </si>
  <si>
    <t>股票代码</t>
  </si>
  <si>
    <t>close_price</t>
  </si>
  <si>
    <t>收盘价</t>
  </si>
  <si>
    <t>open_price</t>
  </si>
  <si>
    <t>开盘价</t>
  </si>
  <si>
    <t>high_price</t>
  </si>
  <si>
    <t>最高价</t>
  </si>
  <si>
    <t>low_price</t>
  </si>
  <si>
    <t>最低价</t>
  </si>
  <si>
    <t>pct_chg</t>
  </si>
  <si>
    <t>涨跌幅</t>
  </si>
  <si>
    <t>volume</t>
  </si>
  <si>
    <t>成交量</t>
  </si>
  <si>
    <t>amount</t>
  </si>
  <si>
    <t>成交额</t>
  </si>
  <si>
    <t>turnover</t>
  </si>
  <si>
    <t>换手率</t>
  </si>
  <si>
    <t>amplitude</t>
  </si>
  <si>
    <t>振幅</t>
  </si>
  <si>
    <t>market_value</t>
  </si>
  <si>
    <t>总市值</t>
  </si>
  <si>
    <r>
      <t>2. 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</si>
  <si>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t>industry_code</t>
  </si>
  <si>
    <t>行业代码</t>
  </si>
  <si>
    <t>industry_name</t>
  </si>
  <si>
    <t>行业名称</t>
  </si>
  <si>
    <t>close</t>
  </si>
  <si>
    <t>指数收盘值</t>
  </si>
  <si>
    <t>pe</t>
  </si>
  <si>
    <t>市盈率</t>
  </si>
  <si>
    <t>pb</t>
  </si>
  <si>
    <t>市净率</t>
  </si>
  <si>
    <r>
      <t>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</si>
  <si>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r>
      <t>行业资金流 (</t>
    </r>
    <r>
      <rPr>
        <b/>
        <sz val="10.5"/>
        <color rgb="FF060A26"/>
        <rFont val="Consolas"/>
        <charset val="134"/>
      </rPr>
      <t>industry_fund_flow_di</t>
    </r>
    <r>
      <rPr>
        <b/>
        <sz val="12"/>
        <color rgb="FF060A26"/>
        <rFont val="Segoe UI"/>
        <charset val="134"/>
      </rPr>
      <t>)</t>
    </r>
  </si>
  <si>
    <t>net_inflow</t>
  </si>
  <si>
    <t>主力净流入（万元）</t>
  </si>
  <si>
    <t>super_inflow</t>
  </si>
  <si>
    <t>超大单净流入</t>
  </si>
  <si>
    <t>large_inflow</t>
  </si>
  <si>
    <t>大单净流入</t>
  </si>
  <si>
    <t>medium_inflow</t>
  </si>
  <si>
    <t>中单净流入</t>
  </si>
  <si>
    <t>retail_inflow</t>
  </si>
  <si>
    <t>散户净流入</t>
  </si>
  <si>
    <t>inflow_ratio</t>
  </si>
  <si>
    <t>净流入 / 成交额</t>
  </si>
  <si>
    <r>
      <t>涨停数据 (</t>
    </r>
    <r>
      <rPr>
        <b/>
        <sz val="10.5"/>
        <color rgb="FF060A26"/>
        <rFont val="Consolas"/>
        <charset val="134"/>
      </rPr>
      <t>limit_up_di</t>
    </r>
    <r>
      <rPr>
        <b/>
        <sz val="12"/>
        <color rgb="FF060A26"/>
        <rFont val="Segoe UI"/>
        <charset val="134"/>
      </rPr>
      <t>)</t>
    </r>
  </si>
  <si>
    <t>first_limit_time</t>
  </si>
  <si>
    <t>首封时间</t>
  </si>
  <si>
    <t>final_limit_time</t>
  </si>
  <si>
    <t>最终封板时间</t>
  </si>
  <si>
    <t>limit_reason</t>
  </si>
  <si>
    <t>涨停原因（题材）</t>
  </si>
  <si>
    <t>consecutive_limit</t>
  </si>
  <si>
    <t>连板数</t>
  </si>
  <si>
    <t>blast_count</t>
  </si>
  <si>
    <t>炸板次数</t>
  </si>
  <si>
    <r>
      <t>机构预期 (</t>
    </r>
    <r>
      <rPr>
        <b/>
        <sz val="10.5"/>
        <color rgb="FF060A26"/>
        <rFont val="Consolas"/>
        <charset val="134"/>
      </rPr>
      <t>institution_forecast_di</t>
    </r>
    <r>
      <rPr>
        <b/>
        <sz val="12"/>
        <color rgb="FF060A26"/>
        <rFont val="Segoe UI"/>
        <charset val="134"/>
      </rPr>
      <t>)</t>
    </r>
  </si>
  <si>
    <t>eps_forecast</t>
  </si>
  <si>
    <t>EPS一致预期</t>
  </si>
  <si>
    <t>profit_forecast</t>
  </si>
  <si>
    <t>净利润预期（亿元）</t>
  </si>
  <si>
    <t>forecast_change</t>
  </si>
  <si>
    <t>预期上调比例（%）</t>
  </si>
  <si>
    <t>rating</t>
  </si>
  <si>
    <t>买入评级占比</t>
  </si>
  <si>
    <r>
      <t> </t>
    </r>
    <r>
      <rPr>
        <b/>
        <sz val="14.05"/>
        <color rgb="FF060A26"/>
        <rFont val="Segoe UI"/>
        <charset val="134"/>
      </rPr>
      <t>Sheet 4: 核心因子计算清单</t>
    </r>
  </si>
  <si>
    <t>类别</t>
  </si>
  <si>
    <t>因子名称</t>
  </si>
  <si>
    <t>计算逻辑</t>
  </si>
  <si>
    <t>来源表</t>
  </si>
  <si>
    <t>资金类</t>
  </si>
  <si>
    <t>连续净流入天数</t>
  </si>
  <si>
    <t>连续N日 net_inflow &gt; 0</t>
  </si>
  <si>
    <t>今日净流入 - 近5日均值</t>
  </si>
  <si>
    <t>超大单占比</t>
  </si>
  <si>
    <t>super_inflow / net_inflow</t>
  </si>
  <si>
    <t>趋势类</t>
  </si>
  <si>
    <t>行业RS</t>
  </si>
  <si>
    <t>industry_index_di + index</t>
  </si>
  <si>
    <t>均线多头</t>
  </si>
  <si>
    <t>5日线 &gt; 10日线 &gt; 20日线</t>
  </si>
  <si>
    <t>新高强度</t>
  </si>
  <si>
    <t>是否创60日新高</t>
  </si>
  <si>
    <t>跌3%后几天收复失地</t>
  </si>
  <si>
    <t>情绪类</t>
  </si>
  <si>
    <t>涨停数 / 行业成分股总数</t>
  </si>
  <si>
    <t>limit_up_di + industry_member_di</t>
  </si>
  <si>
    <t>连板高度</t>
  </si>
  <si>
    <t>行业内最高连板数</t>
  </si>
  <si>
    <t>赚钱效应</t>
  </si>
  <si>
    <t>上涨家数占比 + 涨停强度</t>
  </si>
  <si>
    <t>景气类</t>
  </si>
  <si>
    <t>利润增速</t>
  </si>
  <si>
    <t>同比净利润增长率</t>
  </si>
  <si>
    <t>预期修正</t>
  </si>
  <si>
    <t>近1月盈利预测上调幅度</t>
  </si>
  <si>
    <t>ROE</t>
  </si>
  <si>
    <t>行业平均ROE</t>
  </si>
  <si>
    <r>
      <t> </t>
    </r>
    <r>
      <rPr>
        <b/>
        <sz val="14.05"/>
        <color rgb="FF060A26"/>
        <rFont val="Segoe UI"/>
        <charset val="134"/>
      </rPr>
      <t>Sheet 5: 主线评分模型输出示例</t>
    </r>
  </si>
  <si>
    <t>资金得分 (35%)</t>
  </si>
  <si>
    <t>趋势得分 (25%)</t>
  </si>
  <si>
    <t>情绪得分 (15%)</t>
  </si>
  <si>
    <t>景气得分 (15%)</t>
  </si>
  <si>
    <t>扩散得分 (10%)</t>
  </si>
  <si>
    <t>总分</t>
  </si>
  <si>
    <t>银行</t>
  </si>
  <si>
    <t>Sheet 6: 实施优先级与数据源建议</t>
  </si>
  <si>
    <t>优先级排序</t>
  </si>
  <si>
    <t>行业资金流、行业趋势、行业成交额</t>
  </si>
  <si>
    <t>涨停扩散、ETF资金、财务景气</t>
  </si>
  <si>
    <t>龙虎榜、新闻舆情</t>
  </si>
  <si>
    <t>数据源推荐</t>
  </si>
  <si>
    <t>数据类型</t>
  </si>
  <si>
    <t>免费方案</t>
  </si>
  <si>
    <t>付费方案</t>
  </si>
  <si>
    <t>行情/行业</t>
  </si>
  <si>
    <t>AkShare</t>
  </si>
  <si>
    <t>Wind, iFinD</t>
  </si>
  <si>
    <t>资金流</t>
  </si>
  <si>
    <t>东方财富网</t>
  </si>
  <si>
    <t>Choice, iFinD</t>
  </si>
  <si>
    <t>涨停</t>
  </si>
  <si>
    <t>同花顺网页抓取</t>
  </si>
  <si>
    <t>聚宽, Tushare Pro</t>
  </si>
  <si>
    <t>ETF</t>
  </si>
  <si>
    <t>天天基金网</t>
  </si>
  <si>
    <t>Wind</t>
  </si>
  <si>
    <t>财务</t>
  </si>
  <si>
    <t>Tushare</t>
  </si>
  <si>
    <t>iFinD</t>
  </si>
  <si>
    <t>机构预期</t>
  </si>
  <si>
    <t>——</t>
  </si>
  <si>
    <t>iFinD, Choice</t>
  </si>
  <si>
    <t>电网设备</t>
  </si>
  <si>
    <t>半导体设备材料</t>
  </si>
  <si>
    <t>有色/化工</t>
  </si>
  <si>
    <t>机器人</t>
  </si>
  <si>
    <t>其他</t>
  </si>
  <si>
    <t>海外</t>
  </si>
  <si>
    <t>恒生科技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</si>
</sst>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4.05"/>
      <color rgb="FF060A26"/>
      <name val="Segoe UI"/>
      <charset val="134"/>
    </font>
    <font>
      <b/>
      <sz val="11"/>
      <color theme="1"/>
      <name val="宋体"/>
      <charset val="134"/>
      <scheme val="minor"/>
    </font>
    <font>
      <b/>
      <sz val="12"/>
      <color rgb="FF060A26"/>
      <name val="Segoe UI"/>
      <charset val="134"/>
    </font>
    <font>
      <sz val="12"/>
      <color rgb="FF060A26"/>
      <name val="Segoe UI"/>
      <charset val="134"/>
    </font>
    <font>
      <sz val="11"/>
      <name val="宋体"/>
      <charset val="134"/>
      <scheme val="minor"/>
    </font>
    <font>
      <b/>
      <sz val="1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060A26"/>
      <name val="宋体"/>
      <charset val="134"/>
    </font>
    <font>
      <b/>
      <sz val="10.5"/>
      <color rgb="FF060A26"/>
      <name val="Consolas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8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45">
    <xf numFmtId="0" fontId="0" fillId="0" borderId="0" xfId="0"/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0" fontId="0" fillId="0" borderId="1" xfId="0" applyNumberFormat="1" applyFont="1" applyFill="1" applyBorder="1" applyAlignment="1" applyProtection="1">
      <alignment vertical="center" wrapText="1"/>
    </xf>
    <xf numFmtId="0" fontId="0" fillId="2" borderId="1" xfId="0" applyFill="1" applyBorder="1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wrapText="1"/>
    </xf>
    <xf numFmtId="9" fontId="0" fillId="0" borderId="1" xfId="0" applyNumberFormat="1" applyBorder="1" applyAlignment="1">
      <alignment wrapText="1"/>
    </xf>
    <xf numFmtId="0" fontId="3" fillId="0" borderId="0" xfId="0" applyFont="1"/>
    <xf numFmtId="0" fontId="4" fillId="0" borderId="0" xfId="0" applyFont="1"/>
    <xf numFmtId="0" fontId="0" fillId="0" borderId="2" xfId="0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9" fontId="0" fillId="0" borderId="1" xfId="0" applyNumberFormat="1" applyBorder="1" applyAlignment="1">
      <alignment horizontal="left" wrapText="1"/>
    </xf>
    <xf numFmtId="0" fontId="5" fillId="3" borderId="0" xfId="0" applyFont="1" applyFill="1"/>
    <xf numFmtId="0" fontId="6" fillId="3" borderId="0" xfId="0" applyFont="1" applyFill="1"/>
    <xf numFmtId="0" fontId="3" fillId="0" borderId="1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/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4" borderId="1" xfId="0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pane ySplit="1" topLeftCell="A2" activePane="bottomLeft" state="frozen"/>
      <selection/>
      <selection pane="bottomLeft" activeCell="C8" sqref="C8"/>
    </sheetView>
  </sheetViews>
  <sheetFormatPr defaultColWidth="9" defaultRowHeight="14.4" outlineLevelCol="5"/>
  <cols>
    <col min="1" max="1" width="22" customWidth="1"/>
    <col min="2" max="2" width="37.6666666666667" customWidth="1"/>
    <col min="3" max="3" width="41.1111111111111" customWidth="1"/>
    <col min="4" max="4" width="25.4444444444444" customWidth="1"/>
    <col min="5" max="6" width="23.1111111111111" customWidth="1"/>
    <col min="8" max="8" width="14.1111111111111" customWidth="1"/>
    <col min="9" max="9" width="11.8888888888889" customWidth="1"/>
  </cols>
  <sheetData>
    <row r="1" spans="1:6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</row>
    <row r="2" spans="1:6">
      <c r="A2" s="42" t="s">
        <v>6</v>
      </c>
      <c r="B2" s="42" t="s">
        <v>7</v>
      </c>
      <c r="C2" s="42" t="s">
        <v>8</v>
      </c>
      <c r="D2" s="42" t="s">
        <v>9</v>
      </c>
      <c r="E2" s="42" t="s">
        <v>10</v>
      </c>
      <c r="F2" s="42" t="s">
        <v>11</v>
      </c>
    </row>
    <row r="3" spans="1:6">
      <c r="A3" s="42" t="s">
        <v>12</v>
      </c>
      <c r="B3" s="42" t="s">
        <v>13</v>
      </c>
      <c r="C3" s="42" t="s">
        <v>14</v>
      </c>
      <c r="D3" s="42" t="s">
        <v>15</v>
      </c>
      <c r="E3" s="42" t="s">
        <v>16</v>
      </c>
      <c r="F3" s="42" t="s">
        <v>17</v>
      </c>
    </row>
    <row r="4" spans="1:6">
      <c r="A4" s="42" t="s">
        <v>18</v>
      </c>
      <c r="B4" s="42" t="s">
        <v>7</v>
      </c>
      <c r="C4" s="42" t="s">
        <v>19</v>
      </c>
      <c r="D4" s="42" t="s">
        <v>20</v>
      </c>
      <c r="E4" s="42" t="s">
        <v>21</v>
      </c>
      <c r="F4" s="42" t="s">
        <v>22</v>
      </c>
    </row>
    <row r="5" spans="1:6">
      <c r="A5" s="42" t="s">
        <v>23</v>
      </c>
      <c r="B5" s="42" t="s">
        <v>13</v>
      </c>
      <c r="C5" s="42" t="s">
        <v>24</v>
      </c>
      <c r="D5" s="42" t="s">
        <v>25</v>
      </c>
      <c r="E5" s="42" t="s">
        <v>26</v>
      </c>
      <c r="F5" s="42" t="s">
        <v>27</v>
      </c>
    </row>
    <row r="6" ht="72" spans="1:6">
      <c r="A6" s="42" t="s">
        <v>28</v>
      </c>
      <c r="B6" s="42" t="s">
        <v>29</v>
      </c>
      <c r="C6" s="43" t="s">
        <v>30</v>
      </c>
      <c r="D6" s="42" t="s">
        <v>31</v>
      </c>
      <c r="E6" s="42" t="s">
        <v>32</v>
      </c>
      <c r="F6" s="42" t="s">
        <v>33</v>
      </c>
    </row>
    <row r="7" spans="1:6">
      <c r="A7" s="42" t="s">
        <v>34</v>
      </c>
      <c r="B7" s="42" t="s">
        <v>29</v>
      </c>
      <c r="C7" s="42" t="s">
        <v>35</v>
      </c>
      <c r="D7" s="42" t="s">
        <v>36</v>
      </c>
      <c r="E7" s="42" t="s">
        <v>26</v>
      </c>
      <c r="F7" s="42" t="s">
        <v>37</v>
      </c>
    </row>
    <row r="8" spans="1:6">
      <c r="A8" s="42" t="s">
        <v>38</v>
      </c>
      <c r="B8" s="42" t="s">
        <v>39</v>
      </c>
      <c r="C8" s="42" t="s">
        <v>40</v>
      </c>
      <c r="D8" s="42" t="s">
        <v>41</v>
      </c>
      <c r="E8" s="42" t="s">
        <v>16</v>
      </c>
      <c r="F8" s="42" t="s">
        <v>42</v>
      </c>
    </row>
    <row r="9" spans="1:6">
      <c r="A9" s="42" t="s">
        <v>43</v>
      </c>
      <c r="B9" s="42" t="s">
        <v>44</v>
      </c>
      <c r="C9" s="42" t="s">
        <v>45</v>
      </c>
      <c r="D9" s="42" t="s">
        <v>46</v>
      </c>
      <c r="E9" s="42" t="s">
        <v>32</v>
      </c>
      <c r="F9" s="42" t="s">
        <v>47</v>
      </c>
    </row>
    <row r="10" spans="1:6">
      <c r="A10" s="42" t="s">
        <v>48</v>
      </c>
      <c r="B10" s="42" t="s">
        <v>48</v>
      </c>
      <c r="C10" s="42" t="s">
        <v>49</v>
      </c>
      <c r="D10" s="42" t="s">
        <v>50</v>
      </c>
      <c r="E10" s="42" t="s">
        <v>32</v>
      </c>
      <c r="F10" s="42" t="s">
        <v>51</v>
      </c>
    </row>
    <row r="11" spans="1:6">
      <c r="A11" s="42" t="s">
        <v>52</v>
      </c>
      <c r="B11" s="42" t="s">
        <v>53</v>
      </c>
      <c r="C11" s="42" t="s">
        <v>54</v>
      </c>
      <c r="D11" s="42" t="s">
        <v>55</v>
      </c>
      <c r="E11" s="42" t="s">
        <v>32</v>
      </c>
      <c r="F11" s="42" t="s">
        <v>51</v>
      </c>
    </row>
    <row r="12" spans="1:6">
      <c r="A12" s="42" t="s">
        <v>56</v>
      </c>
      <c r="B12" s="42" t="s">
        <v>57</v>
      </c>
      <c r="C12" s="42" t="s">
        <v>58</v>
      </c>
      <c r="D12" s="42" t="s">
        <v>59</v>
      </c>
      <c r="E12" s="42" t="s">
        <v>60</v>
      </c>
      <c r="F12" s="42" t="s">
        <v>61</v>
      </c>
    </row>
    <row r="13" spans="1:6">
      <c r="A13" s="42" t="s">
        <v>56</v>
      </c>
      <c r="B13" s="42" t="s">
        <v>62</v>
      </c>
      <c r="C13" s="42" t="s">
        <v>63</v>
      </c>
      <c r="D13" s="42" t="s">
        <v>64</v>
      </c>
      <c r="E13" s="42" t="s">
        <v>65</v>
      </c>
      <c r="F13" s="42" t="s">
        <v>66</v>
      </c>
    </row>
    <row r="15" ht="100.8" spans="1:6">
      <c r="A15" s="44" t="s">
        <v>67</v>
      </c>
      <c r="B15" s="44" t="s">
        <v>68</v>
      </c>
      <c r="C15" s="44" t="s">
        <v>69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ySplit="1" topLeftCell="A27" activePane="bottomLeft" state="frozen"/>
      <selection/>
      <selection pane="bottomLeft" activeCell="F3" sqref="F3"/>
    </sheetView>
  </sheetViews>
  <sheetFormatPr defaultColWidth="8.88888888888889" defaultRowHeight="14.4" outlineLevelCol="6"/>
  <cols>
    <col min="1" max="1" width="10.4444444444444" customWidth="1"/>
    <col min="2" max="2" width="15.1111111111111" customWidth="1"/>
    <col min="3" max="3" width="16.4444444444444" customWidth="1"/>
    <col min="4" max="4" width="18.7777777777778" customWidth="1"/>
    <col min="5" max="5" width="75.2222222222222" customWidth="1"/>
    <col min="6" max="6" width="40.3333333333333" customWidth="1"/>
  </cols>
  <sheetData>
    <row r="1" spans="1:7">
      <c r="A1" s="37" t="s">
        <v>1</v>
      </c>
      <c r="B1" s="37" t="s">
        <v>70</v>
      </c>
      <c r="C1" s="37" t="s">
        <v>0</v>
      </c>
      <c r="D1" s="37" t="s">
        <v>71</v>
      </c>
      <c r="E1" s="37" t="s">
        <v>72</v>
      </c>
      <c r="F1" s="37" t="s">
        <v>73</v>
      </c>
      <c r="G1" s="38"/>
    </row>
    <row r="2" ht="115.2" spans="1:7">
      <c r="A2" s="2" t="s">
        <v>74</v>
      </c>
      <c r="B2" s="2" t="s">
        <v>75</v>
      </c>
      <c r="C2" s="3" t="s">
        <v>76</v>
      </c>
      <c r="D2" s="2" t="s">
        <v>77</v>
      </c>
      <c r="E2" s="2"/>
      <c r="F2" s="2" t="s">
        <v>78</v>
      </c>
      <c r="G2" s="38" t="s">
        <v>79</v>
      </c>
    </row>
    <row r="3" ht="273.6" spans="1:7">
      <c r="A3" s="2"/>
      <c r="B3" s="2"/>
      <c r="C3" s="3"/>
      <c r="D3" s="2" t="s">
        <v>80</v>
      </c>
      <c r="E3" s="2" t="s">
        <v>81</v>
      </c>
      <c r="F3" s="2" t="s">
        <v>82</v>
      </c>
      <c r="G3" s="38" t="s">
        <v>83</v>
      </c>
    </row>
    <row r="4" spans="1:7">
      <c r="A4" s="2"/>
      <c r="B4" s="2"/>
      <c r="C4" s="3"/>
      <c r="D4" s="2" t="s">
        <v>84</v>
      </c>
      <c r="E4" s="2"/>
      <c r="F4" s="2" t="s">
        <v>85</v>
      </c>
      <c r="G4" s="38" t="s">
        <v>83</v>
      </c>
    </row>
    <row r="5" spans="1:7">
      <c r="A5" s="2"/>
      <c r="B5" s="2"/>
      <c r="C5" s="3"/>
      <c r="D5" s="2" t="s">
        <v>86</v>
      </c>
      <c r="E5" s="2"/>
      <c r="F5" s="2"/>
      <c r="G5" s="38"/>
    </row>
    <row r="6" spans="1:7">
      <c r="A6" s="2"/>
      <c r="B6" s="2"/>
      <c r="C6" s="3"/>
      <c r="D6" s="2" t="s">
        <v>87</v>
      </c>
      <c r="E6" s="2"/>
      <c r="F6" s="2"/>
      <c r="G6" s="38"/>
    </row>
    <row r="7" ht="72" spans="1:7">
      <c r="A7" s="2"/>
      <c r="B7" s="2"/>
      <c r="C7" s="3"/>
      <c r="D7" s="2" t="s">
        <v>88</v>
      </c>
      <c r="E7" s="2" t="s">
        <v>89</v>
      </c>
      <c r="F7" s="2"/>
      <c r="G7" s="38"/>
    </row>
    <row r="8" spans="1:7">
      <c r="A8" s="2"/>
      <c r="B8" s="2" t="s">
        <v>90</v>
      </c>
      <c r="C8" s="2" t="s">
        <v>91</v>
      </c>
      <c r="D8" s="2" t="s">
        <v>92</v>
      </c>
      <c r="E8" s="2"/>
      <c r="F8" s="2"/>
      <c r="G8" s="38"/>
    </row>
    <row r="9" spans="1:7">
      <c r="A9" s="2"/>
      <c r="B9" s="2"/>
      <c r="C9" s="2"/>
      <c r="D9" s="2" t="s">
        <v>93</v>
      </c>
      <c r="E9" s="2"/>
      <c r="F9" s="2"/>
      <c r="G9" s="38"/>
    </row>
    <row r="10" spans="1:7">
      <c r="A10" s="2"/>
      <c r="B10" s="2"/>
      <c r="C10" s="2"/>
      <c r="D10" s="2" t="s">
        <v>94</v>
      </c>
      <c r="E10" s="2"/>
      <c r="F10" s="2"/>
      <c r="G10" s="38"/>
    </row>
    <row r="11" ht="57.6" spans="1:7">
      <c r="A11" s="2"/>
      <c r="B11" s="2"/>
      <c r="C11" s="2"/>
      <c r="D11" s="2" t="s">
        <v>95</v>
      </c>
      <c r="E11" s="2" t="s">
        <v>96</v>
      </c>
      <c r="F11" s="2"/>
      <c r="G11" s="38"/>
    </row>
    <row r="12" spans="1:7">
      <c r="A12" s="2"/>
      <c r="B12" s="2" t="s">
        <v>97</v>
      </c>
      <c r="C12" s="2" t="s">
        <v>98</v>
      </c>
      <c r="D12" s="2" t="s">
        <v>99</v>
      </c>
      <c r="E12" s="2"/>
      <c r="F12" s="2"/>
      <c r="G12" s="38"/>
    </row>
    <row r="13" spans="1:7">
      <c r="A13" s="2"/>
      <c r="B13" s="2"/>
      <c r="C13" s="2"/>
      <c r="D13" s="2" t="s">
        <v>100</v>
      </c>
      <c r="E13" s="2"/>
      <c r="F13" s="2"/>
      <c r="G13" s="38"/>
    </row>
    <row r="14" ht="43.2" spans="1:7">
      <c r="A14" s="2"/>
      <c r="B14" s="2"/>
      <c r="C14" s="2"/>
      <c r="D14" s="2" t="s">
        <v>101</v>
      </c>
      <c r="E14" s="2" t="s">
        <v>102</v>
      </c>
      <c r="F14" s="2"/>
      <c r="G14" s="38"/>
    </row>
    <row r="15" ht="57.6" spans="1:7">
      <c r="A15" s="2"/>
      <c r="B15" s="2" t="s">
        <v>103</v>
      </c>
      <c r="C15" s="2"/>
      <c r="D15" s="39" t="s">
        <v>104</v>
      </c>
      <c r="E15" s="2" t="s">
        <v>105</v>
      </c>
      <c r="F15" s="2"/>
      <c r="G15" s="38"/>
    </row>
    <row r="16" spans="1:7">
      <c r="A16" s="2" t="s">
        <v>106</v>
      </c>
      <c r="B16" s="2" t="s">
        <v>107</v>
      </c>
      <c r="C16" s="2" t="s">
        <v>108</v>
      </c>
      <c r="D16" s="2" t="s">
        <v>109</v>
      </c>
      <c r="E16" s="2" t="s">
        <v>110</v>
      </c>
      <c r="F16" s="2"/>
      <c r="G16" s="38"/>
    </row>
    <row r="17" spans="1:7">
      <c r="A17" s="2"/>
      <c r="B17" s="2"/>
      <c r="C17" s="2"/>
      <c r="D17" s="2" t="s">
        <v>111</v>
      </c>
      <c r="E17" s="2" t="s">
        <v>112</v>
      </c>
      <c r="F17" s="2"/>
      <c r="G17" s="38"/>
    </row>
    <row r="18" spans="1:7">
      <c r="A18" s="2"/>
      <c r="B18" s="2" t="s">
        <v>113</v>
      </c>
      <c r="C18" s="2" t="s">
        <v>114</v>
      </c>
      <c r="D18" s="39" t="s">
        <v>115</v>
      </c>
      <c r="E18" s="39"/>
      <c r="F18" s="2"/>
      <c r="G18" s="38"/>
    </row>
    <row r="19" spans="1:7">
      <c r="A19" s="2"/>
      <c r="B19" s="2"/>
      <c r="C19" s="2"/>
      <c r="D19" s="2" t="s">
        <v>116</v>
      </c>
      <c r="E19" s="2"/>
      <c r="F19" s="2"/>
      <c r="G19" s="38"/>
    </row>
    <row r="20" spans="1:7">
      <c r="A20" s="2"/>
      <c r="B20" s="2" t="s">
        <v>117</v>
      </c>
      <c r="C20" s="2" t="s">
        <v>118</v>
      </c>
      <c r="D20" s="2" t="s">
        <v>119</v>
      </c>
      <c r="E20" s="2" t="s">
        <v>120</v>
      </c>
      <c r="F20" s="2"/>
      <c r="G20" s="38"/>
    </row>
    <row r="21" spans="1:7">
      <c r="A21" s="2"/>
      <c r="B21" s="2"/>
      <c r="C21" s="2"/>
      <c r="D21" s="2" t="s">
        <v>121</v>
      </c>
      <c r="E21" s="2" t="s">
        <v>122</v>
      </c>
      <c r="F21" s="2"/>
      <c r="G21" s="38"/>
    </row>
    <row r="22" ht="72" spans="1:7">
      <c r="A22" s="2"/>
      <c r="B22" s="2" t="s">
        <v>123</v>
      </c>
      <c r="C22" s="2" t="s">
        <v>124</v>
      </c>
      <c r="D22" s="2"/>
      <c r="E22" s="2" t="s">
        <v>125</v>
      </c>
      <c r="F22" s="2"/>
      <c r="G22" s="38"/>
    </row>
    <row r="23" spans="1:7">
      <c r="A23" s="2" t="s">
        <v>126</v>
      </c>
      <c r="B23" s="2" t="s">
        <v>127</v>
      </c>
      <c r="C23" s="2" t="s">
        <v>128</v>
      </c>
      <c r="D23" s="2" t="s">
        <v>129</v>
      </c>
      <c r="E23" s="2"/>
      <c r="F23" s="2"/>
      <c r="G23" s="38"/>
    </row>
    <row r="24" spans="1:7">
      <c r="A24" s="2"/>
      <c r="B24" s="2"/>
      <c r="C24" s="2" t="s">
        <v>130</v>
      </c>
      <c r="D24" s="2" t="s">
        <v>131</v>
      </c>
      <c r="E24" s="2"/>
      <c r="F24" s="2"/>
      <c r="G24" s="38"/>
    </row>
    <row r="25" ht="43.2" spans="1:7">
      <c r="A25" s="2"/>
      <c r="B25" s="2"/>
      <c r="C25" s="3" t="s">
        <v>132</v>
      </c>
      <c r="D25" s="2"/>
      <c r="E25" s="2" t="s">
        <v>133</v>
      </c>
      <c r="F25" s="3"/>
      <c r="G25" s="38"/>
    </row>
    <row r="26" spans="1:7">
      <c r="A26" s="2"/>
      <c r="B26" s="2" t="s">
        <v>134</v>
      </c>
      <c r="C26" s="2" t="s">
        <v>135</v>
      </c>
      <c r="D26" s="2"/>
      <c r="E26" s="2"/>
      <c r="F26" s="2"/>
      <c r="G26" s="38"/>
    </row>
    <row r="27" spans="1:7">
      <c r="A27" s="2"/>
      <c r="B27" s="2"/>
      <c r="C27" s="2" t="s">
        <v>136</v>
      </c>
      <c r="D27" s="2"/>
      <c r="E27" s="2"/>
      <c r="F27" s="2"/>
      <c r="G27" s="38"/>
    </row>
    <row r="28" ht="43.2" spans="1:7">
      <c r="A28" s="2"/>
      <c r="B28" s="2"/>
      <c r="C28" s="3" t="s">
        <v>137</v>
      </c>
      <c r="D28" s="2"/>
      <c r="E28" s="2" t="s">
        <v>138</v>
      </c>
      <c r="F28" s="2"/>
      <c r="G28" s="38"/>
    </row>
    <row r="29" spans="1:7">
      <c r="A29" s="2"/>
      <c r="B29" s="2" t="s">
        <v>139</v>
      </c>
      <c r="C29" s="3" t="s">
        <v>140</v>
      </c>
      <c r="D29" s="2" t="s">
        <v>141</v>
      </c>
      <c r="E29" s="2"/>
      <c r="F29" s="3"/>
      <c r="G29" s="38"/>
    </row>
    <row r="30" spans="1:7">
      <c r="A30" s="2"/>
      <c r="B30" s="2"/>
      <c r="C30" s="3" t="s">
        <v>142</v>
      </c>
      <c r="D30" s="2" t="s">
        <v>143</v>
      </c>
      <c r="E30" s="2"/>
      <c r="F30" s="3"/>
      <c r="G30" s="38"/>
    </row>
    <row r="31" ht="43.2" spans="1:7">
      <c r="A31" s="2"/>
      <c r="B31" s="2"/>
      <c r="C31" s="3" t="s">
        <v>144</v>
      </c>
      <c r="D31" s="39"/>
      <c r="E31" s="2" t="s">
        <v>145</v>
      </c>
      <c r="F31" s="3"/>
      <c r="G31" s="38"/>
    </row>
    <row r="32" ht="57.6" spans="1:7">
      <c r="A32" s="2"/>
      <c r="B32" s="3" t="s">
        <v>146</v>
      </c>
      <c r="C32" s="3" t="s">
        <v>147</v>
      </c>
      <c r="D32" s="39"/>
      <c r="E32" s="2" t="s">
        <v>148</v>
      </c>
      <c r="F32" s="3"/>
      <c r="G32" s="38"/>
    </row>
    <row r="33" ht="158.4" spans="1:7">
      <c r="A33" s="39" t="s">
        <v>149</v>
      </c>
      <c r="B33" s="40" t="s">
        <v>150</v>
      </c>
      <c r="C33" s="40" t="s">
        <v>151</v>
      </c>
      <c r="D33" s="40" t="s">
        <v>152</v>
      </c>
      <c r="E33" s="40"/>
      <c r="F33" s="39"/>
      <c r="G33" s="38"/>
    </row>
  </sheetData>
  <mergeCells count="18">
    <mergeCell ref="A2:A15"/>
    <mergeCell ref="A16:A22"/>
    <mergeCell ref="A23:A32"/>
    <mergeCell ref="B2:B7"/>
    <mergeCell ref="B8:B11"/>
    <mergeCell ref="B12:B14"/>
    <mergeCell ref="B16:B17"/>
    <mergeCell ref="B18:B19"/>
    <mergeCell ref="B20:B21"/>
    <mergeCell ref="B23:B25"/>
    <mergeCell ref="B26:B28"/>
    <mergeCell ref="B29:B31"/>
    <mergeCell ref="C2:C7"/>
    <mergeCell ref="C8:C11"/>
    <mergeCell ref="C12:C14"/>
    <mergeCell ref="C16:C17"/>
    <mergeCell ref="C18:C19"/>
    <mergeCell ref="C20:C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4"/>
  <sheetViews>
    <sheetView tabSelected="1" workbookViewId="0">
      <selection activeCell="C25" sqref="C25"/>
    </sheetView>
  </sheetViews>
  <sheetFormatPr defaultColWidth="8.88888888888889" defaultRowHeight="14.4"/>
  <cols>
    <col min="1" max="1" width="42.2222222222222" customWidth="1"/>
    <col min="2" max="2" width="32.7777777777778" customWidth="1"/>
    <col min="3" max="3" width="56.1111111111111" customWidth="1"/>
    <col min="4" max="4" width="29.7777777777778" customWidth="1"/>
  </cols>
  <sheetData>
    <row r="1" ht="20.4" spans="1:4">
      <c r="A1" s="6" t="s">
        <v>153</v>
      </c>
      <c r="B1" s="7"/>
      <c r="C1" s="7"/>
      <c r="D1" s="7"/>
    </row>
    <row r="2" spans="1:4">
      <c r="A2" s="8" t="s">
        <v>154</v>
      </c>
      <c r="B2" s="8" t="s">
        <v>155</v>
      </c>
      <c r="C2" s="8" t="s">
        <v>156</v>
      </c>
      <c r="D2" s="8" t="s">
        <v>157</v>
      </c>
    </row>
    <row r="3" ht="28.8" spans="1:4">
      <c r="A3" s="9" t="s">
        <v>140</v>
      </c>
      <c r="B3" s="9" t="s">
        <v>158</v>
      </c>
      <c r="C3" s="10">
        <v>0.35</v>
      </c>
      <c r="D3" s="9" t="s">
        <v>159</v>
      </c>
    </row>
    <row r="4" ht="28.8" spans="1:4">
      <c r="A4" s="9" t="s">
        <v>160</v>
      </c>
      <c r="B4" s="9" t="s">
        <v>161</v>
      </c>
      <c r="C4" s="10">
        <v>0.25</v>
      </c>
      <c r="D4" s="9" t="s">
        <v>162</v>
      </c>
    </row>
    <row r="5" ht="28.8" spans="1:4">
      <c r="A5" s="9" t="s">
        <v>163</v>
      </c>
      <c r="B5" s="9" t="s">
        <v>164</v>
      </c>
      <c r="C5" s="10">
        <v>0.15</v>
      </c>
      <c r="D5" s="9" t="s">
        <v>165</v>
      </c>
    </row>
    <row r="6" spans="1:4">
      <c r="A6" s="9" t="s">
        <v>166</v>
      </c>
      <c r="B6" s="9" t="s">
        <v>167</v>
      </c>
      <c r="C6" s="10">
        <v>0.15</v>
      </c>
      <c r="D6" s="9" t="s">
        <v>168</v>
      </c>
    </row>
    <row r="7" spans="1:4">
      <c r="A7" s="9" t="s">
        <v>169</v>
      </c>
      <c r="B7" s="9" t="s">
        <v>170</v>
      </c>
      <c r="C7" s="10">
        <v>0.1</v>
      </c>
      <c r="D7" s="9" t="s">
        <v>171</v>
      </c>
    </row>
    <row r="9" ht="15.6" spans="1:4">
      <c r="A9" s="11" t="s">
        <v>172</v>
      </c>
    </row>
    <row r="10" ht="19.2" spans="1:4">
      <c r="A10" s="12" t="s">
        <v>173</v>
      </c>
    </row>
    <row r="12" spans="1:4">
      <c r="A12" s="13" t="s">
        <v>140</v>
      </c>
      <c r="B12" s="14" t="s">
        <v>174</v>
      </c>
      <c r="C12" s="14" t="s">
        <v>175</v>
      </c>
      <c r="D12" s="14" t="s">
        <v>176</v>
      </c>
    </row>
    <row r="13" ht="28.8" spans="1:4">
      <c r="A13" s="15"/>
      <c r="B13" s="16" t="s">
        <v>177</v>
      </c>
      <c r="C13" s="16" t="s">
        <v>178</v>
      </c>
      <c r="D13" s="16" t="s">
        <v>179</v>
      </c>
    </row>
    <row r="14" ht="28.8" spans="1:4">
      <c r="A14" s="15"/>
      <c r="B14" s="16" t="s">
        <v>180</v>
      </c>
      <c r="C14" s="16" t="s">
        <v>181</v>
      </c>
      <c r="D14" s="16" t="s">
        <v>182</v>
      </c>
    </row>
    <row r="15" ht="28.8" spans="1:4">
      <c r="A15" s="17"/>
      <c r="B15" s="16" t="s">
        <v>183</v>
      </c>
      <c r="C15" s="16" t="s">
        <v>184</v>
      </c>
      <c r="D15" s="16" t="s">
        <v>185</v>
      </c>
    </row>
    <row r="17" spans="1:4">
      <c r="A17" s="13" t="s">
        <v>160</v>
      </c>
      <c r="B17" s="14" t="s">
        <v>174</v>
      </c>
      <c r="C17" s="14" t="s">
        <v>175</v>
      </c>
      <c r="D17" s="14" t="s">
        <v>176</v>
      </c>
    </row>
    <row r="18" spans="1:4">
      <c r="A18" s="15"/>
      <c r="B18" s="16" t="s">
        <v>186</v>
      </c>
      <c r="C18" s="16" t="s">
        <v>187</v>
      </c>
      <c r="D18" s="16" t="s">
        <v>188</v>
      </c>
    </row>
    <row r="19" spans="1:4">
      <c r="A19" s="15"/>
      <c r="B19" s="16" t="s">
        <v>189</v>
      </c>
      <c r="C19" s="16" t="s">
        <v>190</v>
      </c>
      <c r="D19" s="16" t="s">
        <v>191</v>
      </c>
    </row>
    <row r="20" spans="1:4">
      <c r="A20" s="17"/>
      <c r="B20" s="16" t="s">
        <v>192</v>
      </c>
      <c r="C20" s="16" t="s">
        <v>193</v>
      </c>
      <c r="D20" s="16" t="s">
        <v>194</v>
      </c>
    </row>
    <row r="23" spans="1:4">
      <c r="A23" s="13" t="s">
        <v>163</v>
      </c>
      <c r="B23" s="18" t="s">
        <v>174</v>
      </c>
      <c r="C23" s="18" t="s">
        <v>175</v>
      </c>
      <c r="D23" s="18" t="s">
        <v>176</v>
      </c>
    </row>
    <row r="24" spans="1:4">
      <c r="A24" s="15"/>
      <c r="B24" s="19" t="s">
        <v>195</v>
      </c>
      <c r="C24" s="19" t="s">
        <v>196</v>
      </c>
      <c r="D24" s="19" t="s">
        <v>197</v>
      </c>
    </row>
    <row r="25" spans="1:4">
      <c r="A25" s="15"/>
      <c r="B25" s="19" t="s">
        <v>198</v>
      </c>
      <c r="C25" s="19" t="s">
        <v>199</v>
      </c>
      <c r="D25" s="19" t="s">
        <v>200</v>
      </c>
    </row>
    <row r="26" spans="1:4">
      <c r="A26" s="17"/>
      <c r="B26" s="19" t="s">
        <v>201</v>
      </c>
      <c r="C26" s="19" t="s">
        <v>202</v>
      </c>
      <c r="D26" s="19" t="s">
        <v>203</v>
      </c>
    </row>
    <row r="28" spans="1:4">
      <c r="A28" s="20" t="s">
        <v>204</v>
      </c>
      <c r="B28" s="21" t="s">
        <v>174</v>
      </c>
      <c r="C28" s="21" t="s">
        <v>175</v>
      </c>
      <c r="D28" s="21" t="s">
        <v>176</v>
      </c>
    </row>
    <row r="29" spans="1:4">
      <c r="A29" s="20"/>
      <c r="B29" s="22" t="s">
        <v>205</v>
      </c>
      <c r="C29" s="22" t="s">
        <v>206</v>
      </c>
      <c r="D29" s="22" t="s">
        <v>207</v>
      </c>
    </row>
    <row r="30" spans="1:4">
      <c r="A30" s="20"/>
      <c r="B30" s="22" t="s">
        <v>208</v>
      </c>
      <c r="C30" s="22" t="s">
        <v>209</v>
      </c>
      <c r="D30" s="22" t="s">
        <v>210</v>
      </c>
    </row>
    <row r="32" spans="1:4">
      <c r="A32" s="23" t="s">
        <v>211</v>
      </c>
      <c r="B32" s="14" t="s">
        <v>174</v>
      </c>
      <c r="C32" s="14" t="s">
        <v>175</v>
      </c>
      <c r="D32" s="14" t="s">
        <v>176</v>
      </c>
    </row>
    <row r="33" spans="1:4">
      <c r="A33" s="23"/>
      <c r="B33" s="16" t="s">
        <v>212</v>
      </c>
      <c r="C33" s="16" t="s">
        <v>213</v>
      </c>
      <c r="D33" s="16" t="s">
        <v>214</v>
      </c>
    </row>
    <row r="34" spans="1:4">
      <c r="A34" s="23"/>
      <c r="B34" s="16" t="s">
        <v>215</v>
      </c>
      <c r="C34" s="16" t="s">
        <v>216</v>
      </c>
      <c r="D34" s="16" t="s">
        <v>217</v>
      </c>
    </row>
    <row r="37" ht="20.4" spans="1:4">
      <c r="A37" s="24" t="s">
        <v>218</v>
      </c>
    </row>
    <row r="39" spans="1:4">
      <c r="A39" s="14" t="s">
        <v>219</v>
      </c>
      <c r="B39" s="14" t="s">
        <v>220</v>
      </c>
    </row>
    <row r="40" ht="28.8" spans="1:4">
      <c r="A40" s="16" t="s">
        <v>221</v>
      </c>
      <c r="B40" s="16" t="s">
        <v>222</v>
      </c>
    </row>
    <row r="41" ht="28.8" spans="1:4">
      <c r="A41" s="16" t="s">
        <v>223</v>
      </c>
      <c r="B41" s="16" t="s">
        <v>224</v>
      </c>
    </row>
    <row r="42" ht="28.8" spans="1:4">
      <c r="A42" s="16" t="s">
        <v>225</v>
      </c>
      <c r="B42" s="16" t="s">
        <v>226</v>
      </c>
    </row>
    <row r="43" spans="1:4">
      <c r="A43" s="16" t="s">
        <v>227</v>
      </c>
      <c r="B43" s="16" t="s">
        <v>228</v>
      </c>
    </row>
    <row r="46" ht="15.6" spans="1:4">
      <c r="A46" s="11" t="s">
        <v>229</v>
      </c>
    </row>
    <row r="48" spans="1:4">
      <c r="A48" s="14" t="s">
        <v>230</v>
      </c>
      <c r="B48" s="14" t="s">
        <v>231</v>
      </c>
    </row>
    <row r="49" spans="1:3">
      <c r="A49" s="16" t="s">
        <v>232</v>
      </c>
      <c r="B49" s="16" t="s">
        <v>233</v>
      </c>
    </row>
    <row r="50" spans="1:3">
      <c r="A50" s="16" t="s">
        <v>234</v>
      </c>
      <c r="B50" s="16" t="s">
        <v>235</v>
      </c>
    </row>
    <row r="51" spans="1:3">
      <c r="A51" s="16" t="s">
        <v>236</v>
      </c>
      <c r="B51" s="16" t="s">
        <v>237</v>
      </c>
    </row>
    <row r="52" spans="1:3">
      <c r="A52" s="16" t="s">
        <v>238</v>
      </c>
      <c r="B52" s="16" t="s">
        <v>239</v>
      </c>
    </row>
    <row r="55" ht="20.4" spans="1:3">
      <c r="A55" s="24" t="s">
        <v>240</v>
      </c>
    </row>
    <row r="57" spans="1:3">
      <c r="A57" s="14" t="s">
        <v>241</v>
      </c>
      <c r="B57" s="14" t="s">
        <v>242</v>
      </c>
      <c r="C57" s="14" t="s">
        <v>243</v>
      </c>
    </row>
    <row r="58" spans="1:3">
      <c r="A58" s="16" t="s">
        <v>244</v>
      </c>
      <c r="B58" s="16" t="s">
        <v>245</v>
      </c>
      <c r="C58" s="16" t="s">
        <v>246</v>
      </c>
    </row>
    <row r="59" spans="1:3">
      <c r="A59" s="16" t="s">
        <v>247</v>
      </c>
      <c r="B59" s="16" t="s">
        <v>248</v>
      </c>
      <c r="C59" s="16" t="s">
        <v>249</v>
      </c>
    </row>
    <row r="60" spans="1:3">
      <c r="A60" s="16" t="s">
        <v>250</v>
      </c>
      <c r="B60" s="16" t="s">
        <v>251</v>
      </c>
      <c r="C60" s="16" t="s">
        <v>252</v>
      </c>
    </row>
    <row r="64" ht="37.8" spans="1:3">
      <c r="A64" s="24" t="s">
        <v>253</v>
      </c>
    </row>
    <row r="66" ht="28.8" spans="1:8">
      <c r="A66" s="14" t="s">
        <v>254</v>
      </c>
      <c r="B66" s="14" t="s">
        <v>255</v>
      </c>
      <c r="C66" s="14" t="s">
        <v>230</v>
      </c>
      <c r="D66" s="14" t="s">
        <v>256</v>
      </c>
      <c r="E66" s="14" t="s">
        <v>257</v>
      </c>
      <c r="F66" s="14" t="s">
        <v>258</v>
      </c>
      <c r="G66" s="14" t="s">
        <v>205</v>
      </c>
      <c r="H66" s="14" t="s">
        <v>259</v>
      </c>
    </row>
    <row r="67" spans="1:8">
      <c r="A67" s="16">
        <v>1</v>
      </c>
      <c r="B67" s="16" t="s">
        <v>260</v>
      </c>
      <c r="C67" s="16">
        <v>91</v>
      </c>
      <c r="D67" s="16">
        <v>6</v>
      </c>
      <c r="E67" s="25">
        <v>0.082</v>
      </c>
      <c r="F67" s="16">
        <v>4</v>
      </c>
      <c r="G67" s="26">
        <v>0.4</v>
      </c>
      <c r="H67" s="16" t="s">
        <v>233</v>
      </c>
    </row>
    <row r="68" spans="1:8">
      <c r="A68" s="16">
        <v>2</v>
      </c>
      <c r="B68" s="16" t="s">
        <v>261</v>
      </c>
      <c r="C68" s="16">
        <v>88</v>
      </c>
      <c r="D68" s="16">
        <v>8</v>
      </c>
      <c r="E68" s="25">
        <v>0.075</v>
      </c>
      <c r="F68" s="16">
        <v>3</v>
      </c>
      <c r="G68" s="26">
        <v>0.25</v>
      </c>
      <c r="H68" s="16" t="s">
        <v>235</v>
      </c>
    </row>
    <row r="69" spans="1:8">
      <c r="A69" s="16">
        <v>3</v>
      </c>
      <c r="B69" s="16" t="s">
        <v>262</v>
      </c>
      <c r="C69" s="16">
        <v>82</v>
      </c>
      <c r="D69" s="16">
        <v>4</v>
      </c>
      <c r="E69" s="25">
        <v>0.051</v>
      </c>
      <c r="F69" s="16">
        <v>6</v>
      </c>
      <c r="G69" s="26">
        <v>-0.3</v>
      </c>
      <c r="H69" s="16" t="s">
        <v>235</v>
      </c>
    </row>
    <row r="71" spans="1:8">
      <c r="A71" s="27"/>
    </row>
    <row r="72" ht="20.4" spans="1:8">
      <c r="A72" s="28" t="s">
        <v>263</v>
      </c>
    </row>
    <row r="75" ht="20.4" spans="1:8">
      <c r="A75" s="24" t="s">
        <v>264</v>
      </c>
    </row>
    <row r="76" spans="1:8">
      <c r="A76" s="8" t="s">
        <v>265</v>
      </c>
      <c r="B76" s="8" t="s">
        <v>266</v>
      </c>
      <c r="C76" s="8" t="s">
        <v>267</v>
      </c>
    </row>
    <row r="77" spans="1:8">
      <c r="A77" s="9" t="s">
        <v>268</v>
      </c>
      <c r="B77" s="9" t="s">
        <v>269</v>
      </c>
      <c r="C77" s="9" t="s">
        <v>270</v>
      </c>
    </row>
    <row r="78" spans="1:8">
      <c r="A78" s="9" t="s">
        <v>271</v>
      </c>
      <c r="B78" s="9" t="s">
        <v>272</v>
      </c>
      <c r="C78" s="9" t="s">
        <v>273</v>
      </c>
    </row>
    <row r="79" spans="1:8">
      <c r="A79" s="9" t="s">
        <v>274</v>
      </c>
      <c r="B79" s="9" t="s">
        <v>275</v>
      </c>
      <c r="C79" s="9" t="s">
        <v>276</v>
      </c>
    </row>
    <row r="80" spans="1:8">
      <c r="A80" s="9" t="s">
        <v>277</v>
      </c>
      <c r="B80" s="9" t="s">
        <v>278</v>
      </c>
      <c r="C80" s="9" t="s">
        <v>279</v>
      </c>
    </row>
    <row r="81" spans="1:5">
      <c r="A81" s="9" t="s">
        <v>280</v>
      </c>
      <c r="B81" s="9" t="s">
        <v>281</v>
      </c>
      <c r="C81" s="9" t="s">
        <v>282</v>
      </c>
    </row>
    <row r="82" spans="1:5">
      <c r="A82" s="9" t="s">
        <v>283</v>
      </c>
      <c r="B82" s="9" t="s">
        <v>284</v>
      </c>
      <c r="C82" s="9" t="s">
        <v>285</v>
      </c>
    </row>
    <row r="83" spans="1:5">
      <c r="A83" s="9" t="s">
        <v>286</v>
      </c>
      <c r="B83" s="9" t="s">
        <v>287</v>
      </c>
      <c r="C83" s="9" t="s">
        <v>288</v>
      </c>
    </row>
    <row r="86" ht="37.8" spans="1:5">
      <c r="A86" s="24" t="s">
        <v>289</v>
      </c>
    </row>
    <row r="88" spans="1:5">
      <c r="A88" s="14" t="s">
        <v>290</v>
      </c>
      <c r="B88" s="14" t="s">
        <v>291</v>
      </c>
      <c r="C88" s="14" t="s">
        <v>292</v>
      </c>
      <c r="D88" s="14" t="s">
        <v>293</v>
      </c>
      <c r="E88" s="14" t="s">
        <v>294</v>
      </c>
    </row>
    <row r="89" spans="1:5">
      <c r="A89" s="16">
        <v>1</v>
      </c>
      <c r="B89" s="16" t="s">
        <v>295</v>
      </c>
      <c r="C89" s="16" t="s">
        <v>268</v>
      </c>
      <c r="D89" s="16" t="s">
        <v>296</v>
      </c>
      <c r="E89" s="16" t="s">
        <v>297</v>
      </c>
    </row>
    <row r="90" spans="1:5">
      <c r="A90" s="16">
        <v>2</v>
      </c>
      <c r="B90" s="16" t="s">
        <v>298</v>
      </c>
      <c r="C90" s="16" t="s">
        <v>271</v>
      </c>
      <c r="D90" s="16" t="s">
        <v>299</v>
      </c>
      <c r="E90" s="16" t="s">
        <v>297</v>
      </c>
    </row>
    <row r="91" spans="1:5">
      <c r="A91" s="16">
        <v>3</v>
      </c>
      <c r="B91" s="16" t="s">
        <v>300</v>
      </c>
      <c r="C91" s="16" t="s">
        <v>274</v>
      </c>
      <c r="D91" s="16" t="s">
        <v>301</v>
      </c>
      <c r="E91" s="16" t="s">
        <v>297</v>
      </c>
    </row>
    <row r="92" spans="1:5">
      <c r="A92" s="16">
        <v>4</v>
      </c>
      <c r="B92" s="16" t="s">
        <v>302</v>
      </c>
      <c r="C92" s="16" t="s">
        <v>274</v>
      </c>
      <c r="D92" s="16" t="s">
        <v>303</v>
      </c>
      <c r="E92" s="16" t="s">
        <v>304</v>
      </c>
    </row>
    <row r="93" spans="1:5">
      <c r="A93" s="16">
        <v>5</v>
      </c>
      <c r="B93" s="16" t="s">
        <v>305</v>
      </c>
      <c r="C93" s="16" t="s">
        <v>277</v>
      </c>
      <c r="D93" s="16" t="s">
        <v>306</v>
      </c>
      <c r="E93" s="16" t="s">
        <v>304</v>
      </c>
    </row>
    <row r="94" spans="1:5">
      <c r="A94" s="16">
        <v>6</v>
      </c>
      <c r="B94" s="16" t="s">
        <v>307</v>
      </c>
      <c r="C94" s="16" t="s">
        <v>277</v>
      </c>
      <c r="D94" s="16" t="s">
        <v>308</v>
      </c>
      <c r="E94" s="16" t="s">
        <v>304</v>
      </c>
    </row>
    <row r="95" spans="1:5">
      <c r="A95" s="16">
        <v>7</v>
      </c>
      <c r="B95" s="16" t="s">
        <v>309</v>
      </c>
      <c r="C95" s="16" t="s">
        <v>271</v>
      </c>
      <c r="D95" s="16" t="s">
        <v>310</v>
      </c>
      <c r="E95" s="16" t="s">
        <v>297</v>
      </c>
    </row>
    <row r="96" spans="1:5">
      <c r="A96" s="16">
        <v>8</v>
      </c>
      <c r="B96" s="16" t="s">
        <v>311</v>
      </c>
      <c r="C96" s="16" t="s">
        <v>280</v>
      </c>
      <c r="D96" s="16" t="s">
        <v>312</v>
      </c>
      <c r="E96" s="16" t="s">
        <v>304</v>
      </c>
    </row>
    <row r="97" spans="1:5">
      <c r="A97" s="16">
        <v>9</v>
      </c>
      <c r="B97" s="16" t="s">
        <v>313</v>
      </c>
      <c r="C97" s="16" t="s">
        <v>283</v>
      </c>
      <c r="D97" s="16" t="s">
        <v>314</v>
      </c>
      <c r="E97" s="16" t="s">
        <v>304</v>
      </c>
    </row>
    <row r="98" spans="1:5">
      <c r="A98" s="16">
        <v>10</v>
      </c>
      <c r="B98" s="16" t="s">
        <v>315</v>
      </c>
      <c r="C98" s="16" t="s">
        <v>316</v>
      </c>
      <c r="D98" s="16" t="s">
        <v>317</v>
      </c>
      <c r="E98" s="16" t="s">
        <v>304</v>
      </c>
    </row>
    <row r="99" spans="1:5">
      <c r="A99" s="16">
        <v>11</v>
      </c>
      <c r="B99" s="16" t="s">
        <v>318</v>
      </c>
      <c r="C99" s="16" t="s">
        <v>274</v>
      </c>
      <c r="D99" s="16" t="s">
        <v>319</v>
      </c>
      <c r="E99" s="16" t="s">
        <v>320</v>
      </c>
    </row>
    <row r="100" spans="1:5">
      <c r="A100" s="16">
        <v>12</v>
      </c>
      <c r="B100" s="16" t="s">
        <v>321</v>
      </c>
      <c r="C100" s="16" t="s">
        <v>277</v>
      </c>
      <c r="D100" s="16" t="s">
        <v>322</v>
      </c>
      <c r="E100" s="16" t="s">
        <v>320</v>
      </c>
    </row>
    <row r="102" ht="20.4" spans="1:5">
      <c r="A102" s="24" t="s">
        <v>323</v>
      </c>
    </row>
    <row r="103" ht="19.2" spans="1:5">
      <c r="A103" s="29" t="s">
        <v>324</v>
      </c>
      <c r="B103" s="7"/>
    </row>
    <row r="104" spans="1:5">
      <c r="A104" s="8" t="s">
        <v>325</v>
      </c>
      <c r="B104" s="8" t="s">
        <v>267</v>
      </c>
    </row>
    <row r="105" spans="1:5">
      <c r="A105" s="9" t="s">
        <v>326</v>
      </c>
      <c r="B105" s="9" t="s">
        <v>327</v>
      </c>
    </row>
    <row r="106" spans="1:5">
      <c r="A106" s="9" t="s">
        <v>328</v>
      </c>
      <c r="B106" s="9" t="s">
        <v>329</v>
      </c>
    </row>
    <row r="107" spans="1:5">
      <c r="A107" s="9" t="s">
        <v>330</v>
      </c>
      <c r="B107" s="9" t="s">
        <v>331</v>
      </c>
    </row>
    <row r="108" spans="1:5">
      <c r="A108" s="9" t="s">
        <v>332</v>
      </c>
      <c r="B108" s="9" t="s">
        <v>333</v>
      </c>
    </row>
    <row r="109" spans="1:5">
      <c r="A109" s="9" t="s">
        <v>334</v>
      </c>
      <c r="B109" s="9" t="s">
        <v>335</v>
      </c>
    </row>
    <row r="110" spans="1:5">
      <c r="A110" s="9" t="s">
        <v>336</v>
      </c>
      <c r="B110" s="9" t="s">
        <v>337</v>
      </c>
    </row>
    <row r="111" spans="1:5">
      <c r="A111" s="9" t="s">
        <v>338</v>
      </c>
      <c r="B111" s="9" t="s">
        <v>339</v>
      </c>
    </row>
    <row r="112" spans="1:5">
      <c r="A112" s="9" t="s">
        <v>340</v>
      </c>
      <c r="B112" s="9" t="s">
        <v>341</v>
      </c>
    </row>
    <row r="113" spans="1:2">
      <c r="A113" s="9" t="s">
        <v>342</v>
      </c>
      <c r="B113" s="9" t="s">
        <v>343</v>
      </c>
    </row>
    <row r="114" spans="1:2">
      <c r="A114" s="9" t="s">
        <v>344</v>
      </c>
      <c r="B114" s="9" t="s">
        <v>345</v>
      </c>
    </row>
    <row r="115" spans="1:2">
      <c r="A115" s="9" t="s">
        <v>346</v>
      </c>
      <c r="B115" s="9" t="s">
        <v>347</v>
      </c>
    </row>
    <row r="116" spans="1:2">
      <c r="A116" s="9" t="s">
        <v>348</v>
      </c>
      <c r="B116" s="9" t="s">
        <v>349</v>
      </c>
    </row>
    <row r="118" ht="19.2" spans="1:2">
      <c r="A118" s="30" t="s">
        <v>350</v>
      </c>
    </row>
    <row r="120" spans="1:2">
      <c r="A120" s="31" t="s">
        <v>325</v>
      </c>
      <c r="B120" s="31" t="s">
        <v>267</v>
      </c>
    </row>
    <row r="121" spans="1:2">
      <c r="A121" s="32" t="s">
        <v>351</v>
      </c>
      <c r="B121" s="32" t="s">
        <v>352</v>
      </c>
    </row>
    <row r="122" spans="1:2">
      <c r="A122" s="32" t="s">
        <v>353</v>
      </c>
      <c r="B122" s="32" t="s">
        <v>354</v>
      </c>
    </row>
    <row r="123" spans="1:2">
      <c r="A123" s="32" t="s">
        <v>355</v>
      </c>
      <c r="B123" s="32" t="s">
        <v>356</v>
      </c>
    </row>
    <row r="124" spans="1:2">
      <c r="A124" s="32" t="s">
        <v>338</v>
      </c>
      <c r="B124" s="32" t="s">
        <v>339</v>
      </c>
    </row>
    <row r="125" spans="1:2">
      <c r="A125" s="32" t="s">
        <v>342</v>
      </c>
      <c r="B125" s="32" t="s">
        <v>343</v>
      </c>
    </row>
    <row r="126" spans="1:2">
      <c r="A126" s="32" t="s">
        <v>344</v>
      </c>
      <c r="B126" s="32" t="s">
        <v>345</v>
      </c>
    </row>
    <row r="127" spans="1:2">
      <c r="A127" s="32" t="s">
        <v>357</v>
      </c>
      <c r="B127" s="32" t="s">
        <v>358</v>
      </c>
    </row>
    <row r="128" spans="1:2">
      <c r="A128" s="32" t="s">
        <v>359</v>
      </c>
      <c r="B128" s="32" t="s">
        <v>360</v>
      </c>
    </row>
    <row r="130" ht="19.2" spans="1:2">
      <c r="A130" s="30" t="s">
        <v>361</v>
      </c>
    </row>
    <row r="132" spans="1:2">
      <c r="A132" s="31" t="s">
        <v>325</v>
      </c>
      <c r="B132" s="31" t="s">
        <v>267</v>
      </c>
    </row>
    <row r="133" spans="1:2">
      <c r="A133" s="32" t="s">
        <v>351</v>
      </c>
      <c r="B133" s="32" t="s">
        <v>352</v>
      </c>
    </row>
    <row r="134" spans="1:2">
      <c r="A134" s="32" t="s">
        <v>353</v>
      </c>
      <c r="B134" s="32" t="s">
        <v>354</v>
      </c>
    </row>
    <row r="135" spans="1:2">
      <c r="A135" s="32" t="s">
        <v>355</v>
      </c>
      <c r="B135" s="32" t="s">
        <v>356</v>
      </c>
    </row>
    <row r="136" spans="1:2">
      <c r="A136" s="32" t="s">
        <v>338</v>
      </c>
      <c r="B136" s="32" t="s">
        <v>339</v>
      </c>
    </row>
    <row r="137" spans="1:2">
      <c r="A137" s="32" t="s">
        <v>342</v>
      </c>
      <c r="B137" s="32" t="s">
        <v>343</v>
      </c>
    </row>
    <row r="138" spans="1:2">
      <c r="A138" s="32" t="s">
        <v>344</v>
      </c>
      <c r="B138" s="32" t="s">
        <v>345</v>
      </c>
    </row>
    <row r="139" spans="1:2">
      <c r="A139" s="32" t="s">
        <v>357</v>
      </c>
      <c r="B139" s="32" t="s">
        <v>358</v>
      </c>
    </row>
    <row r="140" spans="1:2">
      <c r="A140" s="32" t="s">
        <v>359</v>
      </c>
      <c r="B140" s="32" t="s">
        <v>360</v>
      </c>
    </row>
    <row r="142" ht="19.2" spans="1:2">
      <c r="A142" s="30" t="s">
        <v>362</v>
      </c>
    </row>
    <row r="144" spans="1:2">
      <c r="A144" s="31" t="s">
        <v>325</v>
      </c>
      <c r="B144" s="31" t="s">
        <v>267</v>
      </c>
    </row>
    <row r="145" spans="1:2">
      <c r="A145" s="32" t="s">
        <v>351</v>
      </c>
      <c r="B145" s="32" t="s">
        <v>352</v>
      </c>
    </row>
    <row r="146" spans="1:2">
      <c r="A146" s="32" t="s">
        <v>363</v>
      </c>
      <c r="B146" s="32" t="s">
        <v>364</v>
      </c>
    </row>
    <row r="147" spans="1:2">
      <c r="A147" s="32" t="s">
        <v>365</v>
      </c>
      <c r="B147" s="32" t="s">
        <v>366</v>
      </c>
    </row>
    <row r="148" spans="1:2">
      <c r="A148" s="32" t="s">
        <v>367</v>
      </c>
      <c r="B148" s="32" t="s">
        <v>368</v>
      </c>
    </row>
    <row r="149" spans="1:2">
      <c r="A149" s="32" t="s">
        <v>369</v>
      </c>
      <c r="B149" s="32" t="s">
        <v>370</v>
      </c>
    </row>
    <row r="150" spans="1:2">
      <c r="A150" s="32" t="s">
        <v>371</v>
      </c>
      <c r="B150" s="32" t="s">
        <v>372</v>
      </c>
    </row>
    <row r="151" spans="1:2">
      <c r="A151" s="32" t="s">
        <v>373</v>
      </c>
      <c r="B151" s="32" t="s">
        <v>374</v>
      </c>
    </row>
    <row r="153" ht="19.2" spans="1:2">
      <c r="A153" s="30" t="s">
        <v>375</v>
      </c>
    </row>
    <row r="155" spans="1:2">
      <c r="A155" s="31" t="s">
        <v>325</v>
      </c>
      <c r="B155" s="31" t="s">
        <v>267</v>
      </c>
    </row>
    <row r="156" spans="1:2">
      <c r="A156" s="32" t="s">
        <v>328</v>
      </c>
      <c r="B156" s="32" t="s">
        <v>329</v>
      </c>
    </row>
    <row r="157" spans="1:2">
      <c r="A157" s="32" t="s">
        <v>376</v>
      </c>
      <c r="B157" s="32" t="s">
        <v>377</v>
      </c>
    </row>
    <row r="158" spans="1:2">
      <c r="A158" s="32" t="s">
        <v>378</v>
      </c>
      <c r="B158" s="32" t="s">
        <v>379</v>
      </c>
    </row>
    <row r="159" spans="1:2">
      <c r="A159" s="32" t="s">
        <v>380</v>
      </c>
      <c r="B159" s="32" t="s">
        <v>381</v>
      </c>
    </row>
    <row r="160" spans="1:2">
      <c r="A160" s="32" t="s">
        <v>382</v>
      </c>
      <c r="B160" s="32" t="s">
        <v>383</v>
      </c>
    </row>
    <row r="161" spans="1:4">
      <c r="A161" s="32" t="s">
        <v>384</v>
      </c>
      <c r="B161" s="32" t="s">
        <v>385</v>
      </c>
    </row>
    <row r="164" ht="19.2" spans="1:4">
      <c r="A164" s="30" t="s">
        <v>386</v>
      </c>
    </row>
    <row r="166" spans="1:4">
      <c r="A166" s="31" t="s">
        <v>325</v>
      </c>
      <c r="B166" s="31" t="s">
        <v>267</v>
      </c>
    </row>
    <row r="167" spans="1:4">
      <c r="A167" s="32" t="s">
        <v>351</v>
      </c>
      <c r="B167" s="32" t="s">
        <v>352</v>
      </c>
    </row>
    <row r="168" spans="1:4">
      <c r="A168" s="32" t="s">
        <v>387</v>
      </c>
      <c r="B168" s="32" t="s">
        <v>388</v>
      </c>
    </row>
    <row r="169" spans="1:4">
      <c r="A169" s="32" t="s">
        <v>389</v>
      </c>
      <c r="B169" s="32" t="s">
        <v>390</v>
      </c>
    </row>
    <row r="170" spans="1:4">
      <c r="A170" s="32" t="s">
        <v>391</v>
      </c>
      <c r="B170" s="32" t="s">
        <v>392</v>
      </c>
    </row>
    <row r="171" spans="1:4">
      <c r="A171" s="32" t="s">
        <v>393</v>
      </c>
      <c r="B171" s="32" t="s">
        <v>394</v>
      </c>
    </row>
    <row r="173" ht="20.4" spans="1:4">
      <c r="A173" s="24" t="s">
        <v>395</v>
      </c>
    </row>
    <row r="175" spans="1:4">
      <c r="A175" s="14" t="s">
        <v>396</v>
      </c>
      <c r="B175" s="14" t="s">
        <v>397</v>
      </c>
      <c r="C175" s="14" t="s">
        <v>398</v>
      </c>
      <c r="D175" s="14" t="s">
        <v>399</v>
      </c>
    </row>
    <row r="176" spans="1:4">
      <c r="A176" s="33" t="s">
        <v>400</v>
      </c>
      <c r="B176" s="16" t="s">
        <v>401</v>
      </c>
      <c r="C176" s="16" t="s">
        <v>402</v>
      </c>
      <c r="D176" s="16" t="s">
        <v>300</v>
      </c>
    </row>
    <row r="177" spans="1:9">
      <c r="A177" s="34"/>
      <c r="B177" s="16" t="s">
        <v>183</v>
      </c>
      <c r="C177" s="16" t="s">
        <v>403</v>
      </c>
      <c r="D177" s="16" t="s">
        <v>300</v>
      </c>
    </row>
    <row r="178" spans="1:9">
      <c r="A178" s="35"/>
      <c r="B178" s="16" t="s">
        <v>404</v>
      </c>
      <c r="C178" s="16" t="s">
        <v>405</v>
      </c>
      <c r="D178" s="16" t="s">
        <v>300</v>
      </c>
    </row>
    <row r="179" spans="1:9">
      <c r="A179" s="33" t="s">
        <v>406</v>
      </c>
      <c r="B179" s="16" t="s">
        <v>407</v>
      </c>
      <c r="C179" s="16" t="s">
        <v>187</v>
      </c>
      <c r="D179" s="16" t="s">
        <v>408</v>
      </c>
    </row>
    <row r="180" spans="1:9">
      <c r="A180" s="34"/>
      <c r="B180" s="16" t="s">
        <v>409</v>
      </c>
      <c r="C180" s="16" t="s">
        <v>410</v>
      </c>
      <c r="D180" s="16" t="s">
        <v>298</v>
      </c>
    </row>
    <row r="181" spans="1:9">
      <c r="A181" s="34"/>
      <c r="B181" s="16" t="s">
        <v>411</v>
      </c>
      <c r="C181" s="16" t="s">
        <v>412</v>
      </c>
      <c r="D181" s="16" t="s">
        <v>298</v>
      </c>
    </row>
    <row r="182" spans="1:9">
      <c r="A182" s="35"/>
      <c r="B182" s="16" t="s">
        <v>192</v>
      </c>
      <c r="C182" s="16" t="s">
        <v>413</v>
      </c>
      <c r="D182" s="16" t="s">
        <v>298</v>
      </c>
    </row>
    <row r="183" ht="28.8" spans="1:9">
      <c r="A183" s="33" t="s">
        <v>414</v>
      </c>
      <c r="B183" s="16" t="s">
        <v>198</v>
      </c>
      <c r="C183" s="16" t="s">
        <v>415</v>
      </c>
      <c r="D183" s="16" t="s">
        <v>416</v>
      </c>
    </row>
    <row r="184" spans="1:9">
      <c r="A184" s="34"/>
      <c r="B184" s="16" t="s">
        <v>417</v>
      </c>
      <c r="C184" s="16" t="s">
        <v>418</v>
      </c>
      <c r="D184" s="16" t="s">
        <v>305</v>
      </c>
    </row>
    <row r="185" spans="1:9">
      <c r="A185" s="35"/>
      <c r="B185" s="16" t="s">
        <v>419</v>
      </c>
      <c r="C185" s="16" t="s">
        <v>420</v>
      </c>
      <c r="D185" s="16" t="s">
        <v>307</v>
      </c>
    </row>
    <row r="186" spans="1:9">
      <c r="A186" s="33" t="s">
        <v>421</v>
      </c>
      <c r="B186" s="16" t="s">
        <v>422</v>
      </c>
      <c r="C186" s="16" t="s">
        <v>423</v>
      </c>
      <c r="D186" s="16" t="s">
        <v>311</v>
      </c>
    </row>
    <row r="187" spans="1:9">
      <c r="A187" s="34"/>
      <c r="B187" s="16" t="s">
        <v>424</v>
      </c>
      <c r="C187" s="16" t="s">
        <v>425</v>
      </c>
      <c r="D187" s="16" t="s">
        <v>313</v>
      </c>
    </row>
    <row r="188" spans="1:9">
      <c r="A188" s="35"/>
      <c r="B188" s="16" t="s">
        <v>426</v>
      </c>
      <c r="C188" s="16" t="s">
        <v>427</v>
      </c>
      <c r="D188" s="16" t="s">
        <v>311</v>
      </c>
    </row>
    <row r="190" ht="20.4" spans="1:9">
      <c r="A190" s="24" t="s">
        <v>428</v>
      </c>
    </row>
    <row r="192" ht="43.2" spans="1:9">
      <c r="A192" s="14" t="s">
        <v>254</v>
      </c>
      <c r="B192" s="14" t="s">
        <v>255</v>
      </c>
      <c r="C192" s="14" t="s">
        <v>429</v>
      </c>
      <c r="D192" s="14" t="s">
        <v>430</v>
      </c>
      <c r="E192" s="14" t="s">
        <v>431</v>
      </c>
      <c r="F192" s="14" t="s">
        <v>432</v>
      </c>
      <c r="G192" s="14" t="s">
        <v>433</v>
      </c>
      <c r="H192" s="14" t="s">
        <v>434</v>
      </c>
      <c r="I192" s="14" t="s">
        <v>259</v>
      </c>
    </row>
    <row r="193" spans="1:9">
      <c r="A193" s="16">
        <v>1</v>
      </c>
      <c r="B193" s="16" t="s">
        <v>260</v>
      </c>
      <c r="C193" s="16">
        <v>92</v>
      </c>
      <c r="D193" s="16">
        <v>88</v>
      </c>
      <c r="E193" s="16">
        <v>85</v>
      </c>
      <c r="F193" s="16">
        <v>90</v>
      </c>
      <c r="G193" s="16">
        <v>87</v>
      </c>
      <c r="H193" s="16">
        <v>89</v>
      </c>
      <c r="I193" s="16" t="s">
        <v>233</v>
      </c>
    </row>
    <row r="194" spans="1:9">
      <c r="A194" s="16">
        <v>2</v>
      </c>
      <c r="B194" s="16" t="s">
        <v>261</v>
      </c>
      <c r="C194" s="16">
        <v>90</v>
      </c>
      <c r="D194" s="16">
        <v>91</v>
      </c>
      <c r="E194" s="16">
        <v>82</v>
      </c>
      <c r="F194" s="16">
        <v>86</v>
      </c>
      <c r="G194" s="16">
        <v>85</v>
      </c>
      <c r="H194" s="16">
        <v>88.1</v>
      </c>
      <c r="I194" s="16" t="s">
        <v>235</v>
      </c>
    </row>
    <row r="195" spans="1:9">
      <c r="A195" s="16">
        <v>3</v>
      </c>
      <c r="B195" s="16" t="s">
        <v>262</v>
      </c>
      <c r="C195" s="16">
        <v>75</v>
      </c>
      <c r="D195" s="16">
        <v>70</v>
      </c>
      <c r="E195" s="16">
        <v>60</v>
      </c>
      <c r="F195" s="16">
        <v>80</v>
      </c>
      <c r="G195" s="16">
        <v>65</v>
      </c>
      <c r="H195" s="16">
        <v>72</v>
      </c>
      <c r="I195" s="16" t="s">
        <v>237</v>
      </c>
    </row>
    <row r="196" spans="1:9">
      <c r="A196" s="16">
        <v>4</v>
      </c>
      <c r="B196" s="16" t="s">
        <v>435</v>
      </c>
      <c r="C196" s="16">
        <v>40</v>
      </c>
      <c r="D196" s="16">
        <v>35</v>
      </c>
      <c r="E196" s="16">
        <v>20</v>
      </c>
      <c r="F196" s="16">
        <v>50</v>
      </c>
      <c r="G196" s="16">
        <v>30</v>
      </c>
      <c r="H196" s="16">
        <v>36.5</v>
      </c>
      <c r="I196" s="16" t="s">
        <v>239</v>
      </c>
    </row>
    <row r="199" ht="20.4" spans="1:9">
      <c r="A199" s="24" t="s">
        <v>436</v>
      </c>
    </row>
    <row r="201" ht="15.6" spans="1:9">
      <c r="A201" s="36" t="s">
        <v>437</v>
      </c>
      <c r="B201" s="7"/>
    </row>
    <row r="202" spans="1:9">
      <c r="A202" s="8" t="s">
        <v>294</v>
      </c>
      <c r="B202" s="8" t="s">
        <v>266</v>
      </c>
    </row>
    <row r="203" spans="1:9">
      <c r="A203" s="9" t="s">
        <v>297</v>
      </c>
      <c r="B203" s="9" t="s">
        <v>438</v>
      </c>
    </row>
    <row r="204" spans="1:9">
      <c r="A204" s="9" t="s">
        <v>304</v>
      </c>
      <c r="B204" s="9" t="s">
        <v>439</v>
      </c>
    </row>
    <row r="205" spans="1:9">
      <c r="A205" s="9" t="s">
        <v>320</v>
      </c>
      <c r="B205" s="9" t="s">
        <v>440</v>
      </c>
    </row>
    <row r="207" ht="15.6" spans="1:9">
      <c r="A207" s="36" t="s">
        <v>441</v>
      </c>
      <c r="B207" s="7"/>
      <c r="C207" s="7"/>
    </row>
    <row r="208" spans="1:9">
      <c r="A208" s="8" t="s">
        <v>442</v>
      </c>
      <c r="B208" s="8" t="s">
        <v>443</v>
      </c>
      <c r="C208" s="8" t="s">
        <v>444</v>
      </c>
    </row>
    <row r="209" spans="1:3">
      <c r="A209" s="9" t="s">
        <v>445</v>
      </c>
      <c r="B209" s="9" t="s">
        <v>446</v>
      </c>
      <c r="C209" s="9" t="s">
        <v>447</v>
      </c>
    </row>
    <row r="210" spans="1:3">
      <c r="A210" s="9" t="s">
        <v>448</v>
      </c>
      <c r="B210" s="9" t="s">
        <v>449</v>
      </c>
      <c r="C210" s="9" t="s">
        <v>450</v>
      </c>
    </row>
    <row r="211" spans="1:3">
      <c r="A211" s="9" t="s">
        <v>451</v>
      </c>
      <c r="B211" s="9" t="s">
        <v>452</v>
      </c>
      <c r="C211" s="9" t="s">
        <v>453</v>
      </c>
    </row>
    <row r="212" spans="1:3">
      <c r="A212" s="9" t="s">
        <v>454</v>
      </c>
      <c r="B212" s="9" t="s">
        <v>455</v>
      </c>
      <c r="C212" s="9" t="s">
        <v>456</v>
      </c>
    </row>
    <row r="213" spans="1:3">
      <c r="A213" s="9" t="s">
        <v>457</v>
      </c>
      <c r="B213" s="9" t="s">
        <v>458</v>
      </c>
      <c r="C213" s="9" t="s">
        <v>459</v>
      </c>
    </row>
    <row r="214" spans="1:3">
      <c r="A214" s="9" t="s">
        <v>460</v>
      </c>
      <c r="B214" s="9" t="s">
        <v>461</v>
      </c>
      <c r="C214" s="9" t="s">
        <v>462</v>
      </c>
    </row>
  </sheetData>
  <mergeCells count="9">
    <mergeCell ref="A12:A15"/>
    <mergeCell ref="A17:A20"/>
    <mergeCell ref="A23:A26"/>
    <mergeCell ref="A28:A30"/>
    <mergeCell ref="A32:A34"/>
    <mergeCell ref="A176:A178"/>
    <mergeCell ref="A179:A182"/>
    <mergeCell ref="A183:A185"/>
    <mergeCell ref="A186:A18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M17" sqref="M17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O24"/>
  <sheetViews>
    <sheetView workbookViewId="0">
      <selection activeCell="I20" sqref="$A1:$XFD1048576"/>
    </sheetView>
  </sheetViews>
  <sheetFormatPr defaultColWidth="8.88888888888889" defaultRowHeight="14.4"/>
  <cols>
    <col min="3" max="3" width="26.4444444444444" customWidth="1"/>
    <col min="13" max="13" width="17.7777777777778" customWidth="1"/>
    <col min="14" max="14" width="17" customWidth="1"/>
  </cols>
  <sheetData>
    <row r="4" spans="2:1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2:1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2:15">
      <c r="B6" s="1"/>
      <c r="C6" s="1"/>
      <c r="D6" s="1"/>
      <c r="E6" s="1">
        <v>300000</v>
      </c>
      <c r="F6" s="1">
        <v>108000</v>
      </c>
      <c r="G6" s="1">
        <f>E6-F6</f>
        <v>192000</v>
      </c>
      <c r="H6" s="1"/>
      <c r="I6" s="1"/>
      <c r="J6" s="1"/>
      <c r="K6" s="1"/>
      <c r="L6" s="1"/>
      <c r="M6" s="1"/>
      <c r="N6" s="1"/>
      <c r="O6" s="1"/>
    </row>
    <row r="7" spans="2:1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2:1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2" t="s">
        <v>260</v>
      </c>
      <c r="N8" s="3">
        <v>35000</v>
      </c>
      <c r="O8" s="1"/>
    </row>
    <row r="9" spans="2:15">
      <c r="B9" s="1"/>
      <c r="C9" s="2" t="s">
        <v>260</v>
      </c>
      <c r="D9" s="4">
        <v>0.25</v>
      </c>
      <c r="E9" s="3">
        <v>192000</v>
      </c>
      <c r="F9" s="3">
        <f t="shared" ref="F9:F13" si="0">D9*E9</f>
        <v>48000</v>
      </c>
      <c r="G9" s="3">
        <v>35000</v>
      </c>
      <c r="H9" s="3">
        <f t="shared" ref="H9:H17" si="1">F9-G9</f>
        <v>13000</v>
      </c>
      <c r="I9" s="1">
        <v>10000</v>
      </c>
      <c r="J9" s="1">
        <v>7000</v>
      </c>
      <c r="K9" s="1"/>
      <c r="L9" s="1"/>
      <c r="M9" s="2" t="s">
        <v>463</v>
      </c>
      <c r="N9" s="3">
        <v>26500</v>
      </c>
      <c r="O9" s="1"/>
    </row>
    <row r="10" spans="2:15">
      <c r="B10" s="1"/>
      <c r="C10" s="2" t="s">
        <v>463</v>
      </c>
      <c r="D10" s="4">
        <v>0.25</v>
      </c>
      <c r="E10" s="3">
        <v>192000</v>
      </c>
      <c r="F10" s="3">
        <f t="shared" si="0"/>
        <v>48000</v>
      </c>
      <c r="G10" s="3">
        <v>26500</v>
      </c>
      <c r="H10" s="3">
        <f t="shared" si="1"/>
        <v>21500</v>
      </c>
      <c r="I10" s="1">
        <v>10000</v>
      </c>
      <c r="J10" s="1">
        <v>17000</v>
      </c>
      <c r="K10" s="1"/>
      <c r="L10" s="1"/>
      <c r="M10" s="2" t="s">
        <v>261</v>
      </c>
      <c r="N10" s="3">
        <v>31000</v>
      </c>
      <c r="O10" s="1"/>
    </row>
    <row r="11" spans="2:15">
      <c r="B11" s="1"/>
      <c r="C11" s="2" t="s">
        <v>261</v>
      </c>
      <c r="D11" s="4">
        <v>0.2</v>
      </c>
      <c r="E11" s="3">
        <v>192000</v>
      </c>
      <c r="F11" s="3">
        <f t="shared" si="0"/>
        <v>38400</v>
      </c>
      <c r="G11" s="3">
        <v>31000</v>
      </c>
      <c r="H11" s="3">
        <f t="shared" si="1"/>
        <v>7400</v>
      </c>
      <c r="I11" s="1"/>
      <c r="J11" s="1">
        <v>7000</v>
      </c>
      <c r="K11" s="1"/>
      <c r="L11" s="1"/>
      <c r="M11" s="2" t="s">
        <v>464</v>
      </c>
      <c r="N11" s="3">
        <v>34000</v>
      </c>
      <c r="O11" s="1"/>
    </row>
    <row r="12" spans="2:15">
      <c r="B12" s="1"/>
      <c r="C12" s="2" t="s">
        <v>464</v>
      </c>
      <c r="D12" s="4">
        <v>0.2</v>
      </c>
      <c r="E12" s="3">
        <v>192000</v>
      </c>
      <c r="F12" s="3">
        <f t="shared" si="0"/>
        <v>38400</v>
      </c>
      <c r="G12" s="3">
        <v>34000</v>
      </c>
      <c r="H12" s="3">
        <f t="shared" si="1"/>
        <v>4400</v>
      </c>
      <c r="I12" s="1"/>
      <c r="J12" s="1"/>
      <c r="K12" s="1"/>
      <c r="L12" s="1"/>
      <c r="M12" s="2" t="s">
        <v>465</v>
      </c>
      <c r="N12" s="3">
        <v>27000</v>
      </c>
      <c r="O12" s="1"/>
    </row>
    <row r="13" spans="2:15">
      <c r="B13" s="1"/>
      <c r="C13" s="2" t="s">
        <v>465</v>
      </c>
      <c r="D13" s="4">
        <v>0.1</v>
      </c>
      <c r="E13" s="3">
        <v>192000</v>
      </c>
      <c r="F13" s="3">
        <f t="shared" si="0"/>
        <v>19200</v>
      </c>
      <c r="G13" s="3">
        <v>27000</v>
      </c>
      <c r="H13" s="3">
        <f t="shared" si="1"/>
        <v>-7800</v>
      </c>
      <c r="I13" s="1"/>
      <c r="J13" s="1"/>
      <c r="K13" s="1"/>
      <c r="L13" s="1"/>
      <c r="M13" s="5" t="s">
        <v>466</v>
      </c>
      <c r="N13" s="5">
        <v>31000</v>
      </c>
      <c r="O13" s="1"/>
    </row>
    <row r="14" spans="2:15">
      <c r="B14" s="1"/>
      <c r="C14" s="5" t="s">
        <v>466</v>
      </c>
      <c r="D14" s="5"/>
      <c r="E14" s="5"/>
      <c r="F14" s="5"/>
      <c r="G14" s="5">
        <v>31000</v>
      </c>
      <c r="H14" s="5">
        <f t="shared" si="1"/>
        <v>-31000</v>
      </c>
      <c r="I14" s="1"/>
      <c r="J14" s="1"/>
      <c r="K14" s="1"/>
      <c r="L14" s="1"/>
      <c r="O14" s="1"/>
    </row>
    <row r="15" spans="2:15">
      <c r="B15" s="1"/>
      <c r="C15" s="3" t="s">
        <v>467</v>
      </c>
      <c r="D15" s="3"/>
      <c r="E15" s="3"/>
      <c r="F15" s="3">
        <v>50000</v>
      </c>
      <c r="G15" s="3">
        <v>50000</v>
      </c>
      <c r="H15" s="3">
        <f t="shared" si="1"/>
        <v>0</v>
      </c>
      <c r="I15" s="1"/>
      <c r="J15" s="1"/>
      <c r="K15" s="1"/>
      <c r="L15" s="1"/>
      <c r="M15" s="3" t="s">
        <v>468</v>
      </c>
      <c r="N15" s="3">
        <v>38000</v>
      </c>
      <c r="O15" s="1"/>
    </row>
    <row r="16" spans="2:15">
      <c r="B16" s="1"/>
      <c r="C16" s="3" t="s">
        <v>468</v>
      </c>
      <c r="D16" s="3"/>
      <c r="E16" s="3"/>
      <c r="F16" s="3">
        <v>38000</v>
      </c>
      <c r="G16" s="3">
        <v>38000</v>
      </c>
      <c r="H16" s="3">
        <f t="shared" si="1"/>
        <v>0</v>
      </c>
      <c r="I16" s="1"/>
      <c r="J16" s="1"/>
      <c r="K16" s="1"/>
      <c r="L16" s="1"/>
      <c r="M16" s="5" t="s">
        <v>469</v>
      </c>
      <c r="N16" s="5">
        <v>20000</v>
      </c>
      <c r="O16" s="1"/>
    </row>
    <row r="17" spans="2:15">
      <c r="B17" s="1"/>
      <c r="C17" s="5" t="s">
        <v>469</v>
      </c>
      <c r="D17" s="5"/>
      <c r="E17" s="5"/>
      <c r="F17" s="5">
        <v>20000</v>
      </c>
      <c r="G17" s="5">
        <v>20000</v>
      </c>
      <c r="H17" s="5">
        <f t="shared" si="1"/>
        <v>0</v>
      </c>
      <c r="I17" s="1"/>
      <c r="J17" s="1"/>
      <c r="K17" s="1"/>
      <c r="L17" s="1"/>
      <c r="M17" s="3" t="s">
        <v>467</v>
      </c>
      <c r="N17" s="3">
        <v>50000</v>
      </c>
      <c r="O17" s="1"/>
    </row>
    <row r="18" spans="2:1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2:1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2:1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2:1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2:15">
      <c r="B22" s="1"/>
      <c r="C22" s="1"/>
      <c r="D22" s="1"/>
      <c r="E22" s="1"/>
      <c r="F22" s="1">
        <v>31000</v>
      </c>
      <c r="G22" s="1">
        <v>1.3</v>
      </c>
      <c r="H22" s="1">
        <f>F22*G22</f>
        <v>40300</v>
      </c>
      <c r="I22" s="1">
        <v>2</v>
      </c>
      <c r="J22" s="1">
        <f>H22/I22</f>
        <v>20150</v>
      </c>
      <c r="K22" s="1">
        <v>1.2</v>
      </c>
      <c r="L22" s="1">
        <f>J22*K22</f>
        <v>24180</v>
      </c>
      <c r="M22" s="1"/>
      <c r="N22" s="1"/>
      <c r="O22" s="1"/>
    </row>
    <row r="23" spans="2:15">
      <c r="B23" s="1"/>
      <c r="C23" s="1"/>
      <c r="D23" s="1"/>
      <c r="E23" s="1"/>
      <c r="F23" s="1"/>
      <c r="G23" s="1"/>
      <c r="H23" s="1">
        <f>H22-F22</f>
        <v>9300</v>
      </c>
      <c r="I23" s="1"/>
      <c r="J23" s="1"/>
      <c r="K23" s="1"/>
      <c r="L23" s="1">
        <f>L22-J22</f>
        <v>4030</v>
      </c>
      <c r="M23" s="1">
        <f>H23+L23</f>
        <v>13330</v>
      </c>
      <c r="N23" s="1">
        <f>M23/F22</f>
        <v>0.43</v>
      </c>
      <c r="O23" s="1"/>
    </row>
    <row r="24" spans="2:1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O24"/>
  <sheetViews>
    <sheetView workbookViewId="0">
      <selection activeCell="L16" sqref="L16"/>
    </sheetView>
  </sheetViews>
  <sheetFormatPr defaultColWidth="8.88888888888889" defaultRowHeight="14.4"/>
  <cols>
    <col min="3" max="3" width="26.4444444444444" customWidth="1"/>
    <col min="13" max="13" width="17.7777777777778" customWidth="1"/>
    <col min="14" max="14" width="17" customWidth="1"/>
  </cols>
  <sheetData>
    <row r="4" customFormat="1" spans="2:1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customFormat="1" spans="2:1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customFormat="1" spans="2:15">
      <c r="B6" s="1"/>
      <c r="C6" s="1"/>
      <c r="D6" s="1"/>
      <c r="E6" s="1">
        <v>300000</v>
      </c>
      <c r="F6" s="1">
        <v>108000</v>
      </c>
      <c r="G6" s="1">
        <f>E6-F6</f>
        <v>192000</v>
      </c>
      <c r="H6" s="1"/>
      <c r="I6" s="1"/>
      <c r="J6" s="1"/>
      <c r="K6" s="1"/>
      <c r="L6" s="1"/>
      <c r="M6" s="1"/>
      <c r="N6" s="1"/>
      <c r="O6" s="1"/>
    </row>
    <row r="7" customFormat="1" spans="2:1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customFormat="1" spans="2:1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2" t="s">
        <v>260</v>
      </c>
      <c r="N8" s="3">
        <v>35000</v>
      </c>
      <c r="O8" s="1"/>
    </row>
    <row r="9" customFormat="1" spans="2:15">
      <c r="B9" s="1"/>
      <c r="C9" s="2" t="s">
        <v>260</v>
      </c>
      <c r="D9" s="4">
        <v>0.25</v>
      </c>
      <c r="E9" s="3">
        <v>192000</v>
      </c>
      <c r="F9" s="3">
        <f t="shared" ref="F9:F13" si="0">D9*E9</f>
        <v>48000</v>
      </c>
      <c r="G9" s="3">
        <v>35000</v>
      </c>
      <c r="H9" s="3">
        <f t="shared" ref="H9:H17" si="1">F9-G9</f>
        <v>13000</v>
      </c>
      <c r="I9" s="1">
        <v>10000</v>
      </c>
      <c r="J9" s="1">
        <v>7000</v>
      </c>
      <c r="K9" s="1"/>
      <c r="L9" s="1"/>
      <c r="M9" s="2" t="s">
        <v>463</v>
      </c>
      <c r="N9" s="3">
        <v>26500</v>
      </c>
      <c r="O9" s="1"/>
    </row>
    <row r="10" customFormat="1" spans="2:15">
      <c r="B10" s="1"/>
      <c r="C10" s="2" t="s">
        <v>463</v>
      </c>
      <c r="D10" s="4">
        <v>0.25</v>
      </c>
      <c r="E10" s="3">
        <v>192000</v>
      </c>
      <c r="F10" s="3">
        <f t="shared" si="0"/>
        <v>48000</v>
      </c>
      <c r="G10" s="3">
        <v>26500</v>
      </c>
      <c r="H10" s="3">
        <f t="shared" si="1"/>
        <v>21500</v>
      </c>
      <c r="I10" s="1">
        <v>10000</v>
      </c>
      <c r="J10" s="1">
        <v>17000</v>
      </c>
      <c r="K10" s="1"/>
      <c r="L10" s="1"/>
      <c r="M10" s="2" t="s">
        <v>261</v>
      </c>
      <c r="N10" s="3">
        <v>31000</v>
      </c>
      <c r="O10" s="1"/>
    </row>
    <row r="11" customFormat="1" spans="2:15">
      <c r="B11" s="1"/>
      <c r="C11" s="2" t="s">
        <v>261</v>
      </c>
      <c r="D11" s="4">
        <v>0.2</v>
      </c>
      <c r="E11" s="3">
        <v>192000</v>
      </c>
      <c r="F11" s="3">
        <f t="shared" si="0"/>
        <v>38400</v>
      </c>
      <c r="G11" s="3">
        <v>31000</v>
      </c>
      <c r="H11" s="3">
        <f t="shared" si="1"/>
        <v>7400</v>
      </c>
      <c r="I11" s="1"/>
      <c r="J11" s="1">
        <v>7000</v>
      </c>
      <c r="K11" s="1"/>
      <c r="L11" s="1"/>
      <c r="M11" s="2" t="s">
        <v>464</v>
      </c>
      <c r="N11" s="3">
        <v>34000</v>
      </c>
      <c r="O11" s="1"/>
    </row>
    <row r="12" customFormat="1" spans="2:15">
      <c r="B12" s="1"/>
      <c r="C12" s="2" t="s">
        <v>464</v>
      </c>
      <c r="D12" s="4">
        <v>0.2</v>
      </c>
      <c r="E12" s="3">
        <v>192000</v>
      </c>
      <c r="F12" s="3">
        <f t="shared" si="0"/>
        <v>38400</v>
      </c>
      <c r="G12" s="3">
        <v>34000</v>
      </c>
      <c r="H12" s="3">
        <f t="shared" si="1"/>
        <v>4400</v>
      </c>
      <c r="I12" s="1"/>
      <c r="J12" s="1"/>
      <c r="K12" s="1"/>
      <c r="L12" s="1"/>
      <c r="M12" s="2" t="s">
        <v>465</v>
      </c>
      <c r="N12" s="3">
        <v>27000</v>
      </c>
      <c r="O12" s="1"/>
    </row>
    <row r="13" customFormat="1" spans="2:15">
      <c r="B13" s="1"/>
      <c r="C13" s="2" t="s">
        <v>465</v>
      </c>
      <c r="D13" s="4">
        <v>0.1</v>
      </c>
      <c r="E13" s="3">
        <v>192000</v>
      </c>
      <c r="F13" s="3">
        <f t="shared" si="0"/>
        <v>19200</v>
      </c>
      <c r="G13" s="3">
        <v>27000</v>
      </c>
      <c r="H13" s="3">
        <f t="shared" si="1"/>
        <v>-7800</v>
      </c>
      <c r="I13" s="1"/>
      <c r="J13" s="1"/>
      <c r="K13" s="1"/>
      <c r="L13" s="1"/>
      <c r="M13" s="5" t="s">
        <v>466</v>
      </c>
      <c r="N13" s="5">
        <v>31000</v>
      </c>
      <c r="O13" s="1"/>
    </row>
    <row r="14" customFormat="1" spans="2:15">
      <c r="B14" s="1"/>
      <c r="C14" s="5" t="s">
        <v>466</v>
      </c>
      <c r="D14" s="5"/>
      <c r="E14" s="5"/>
      <c r="F14" s="5"/>
      <c r="G14" s="5">
        <v>31000</v>
      </c>
      <c r="H14" s="5">
        <f t="shared" si="1"/>
        <v>-31000</v>
      </c>
      <c r="I14" s="1"/>
      <c r="J14" s="1"/>
      <c r="K14" s="1"/>
      <c r="L14" s="1"/>
      <c r="O14" s="1"/>
    </row>
    <row r="15" customFormat="1" spans="2:15">
      <c r="B15" s="1"/>
      <c r="C15" s="3" t="s">
        <v>467</v>
      </c>
      <c r="D15" s="3"/>
      <c r="E15" s="3"/>
      <c r="F15" s="3">
        <v>50000</v>
      </c>
      <c r="G15" s="3">
        <v>50000</v>
      </c>
      <c r="H15" s="3">
        <f t="shared" si="1"/>
        <v>0</v>
      </c>
      <c r="I15" s="1"/>
      <c r="J15" s="1"/>
      <c r="K15" s="1"/>
      <c r="L15" s="1"/>
      <c r="M15" s="3" t="s">
        <v>468</v>
      </c>
      <c r="N15" s="3">
        <v>38000</v>
      </c>
      <c r="O15" s="1"/>
    </row>
    <row r="16" customFormat="1" spans="2:15">
      <c r="B16" s="1"/>
      <c r="C16" s="3" t="s">
        <v>468</v>
      </c>
      <c r="D16" s="3"/>
      <c r="E16" s="3"/>
      <c r="F16" s="3">
        <v>38000</v>
      </c>
      <c r="G16" s="3">
        <v>38000</v>
      </c>
      <c r="H16" s="3">
        <f t="shared" si="1"/>
        <v>0</v>
      </c>
      <c r="I16" s="1"/>
      <c r="J16" s="1"/>
      <c r="K16" s="1"/>
      <c r="L16" s="1"/>
      <c r="M16" s="5" t="s">
        <v>469</v>
      </c>
      <c r="N16" s="5">
        <v>20000</v>
      </c>
      <c r="O16" s="1"/>
    </row>
    <row r="17" customFormat="1" spans="2:15">
      <c r="B17" s="1"/>
      <c r="C17" s="5" t="s">
        <v>469</v>
      </c>
      <c r="D17" s="5"/>
      <c r="E17" s="5"/>
      <c r="F17" s="5">
        <v>20000</v>
      </c>
      <c r="G17" s="5">
        <v>20000</v>
      </c>
      <c r="H17" s="5">
        <f t="shared" si="1"/>
        <v>0</v>
      </c>
      <c r="I17" s="1"/>
      <c r="J17" s="1"/>
      <c r="K17" s="1"/>
      <c r="L17" s="1"/>
      <c r="M17" s="3" t="s">
        <v>467</v>
      </c>
      <c r="N17" s="3">
        <v>50000</v>
      </c>
      <c r="O17" s="1"/>
    </row>
    <row r="18" customFormat="1" spans="2:1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customFormat="1" spans="2:1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customFormat="1" spans="2:1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customFormat="1" spans="2:1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customFormat="1" spans="2:15">
      <c r="B22" s="1"/>
      <c r="C22" s="1"/>
      <c r="D22" s="1"/>
      <c r="E22" s="1"/>
      <c r="F22" s="1">
        <v>31000</v>
      </c>
      <c r="G22" s="1">
        <v>1.3</v>
      </c>
      <c r="H22" s="1">
        <f>F22*G22</f>
        <v>40300</v>
      </c>
      <c r="I22" s="1">
        <v>2</v>
      </c>
      <c r="J22" s="1">
        <f>H22/I22</f>
        <v>20150</v>
      </c>
      <c r="K22" s="1">
        <v>1.2</v>
      </c>
      <c r="L22" s="1">
        <f>J22*K22</f>
        <v>24180</v>
      </c>
      <c r="M22" s="1"/>
      <c r="N22" s="1"/>
      <c r="O22" s="1"/>
    </row>
    <row r="23" customFormat="1" spans="2:15">
      <c r="B23" s="1"/>
      <c r="C23" s="1"/>
      <c r="D23" s="1"/>
      <c r="E23" s="1"/>
      <c r="F23" s="1"/>
      <c r="G23" s="1"/>
      <c r="H23" s="1">
        <f>H22-F22</f>
        <v>9300</v>
      </c>
      <c r="I23" s="1"/>
      <c r="J23" s="1"/>
      <c r="K23" s="1"/>
      <c r="L23" s="1">
        <f>L22-J22</f>
        <v>4030</v>
      </c>
      <c r="M23" s="1">
        <f>H23+L23</f>
        <v>13330</v>
      </c>
      <c r="N23" s="1">
        <f>M23/F22</f>
        <v>0.43</v>
      </c>
      <c r="O23" s="1"/>
    </row>
    <row r="24" customFormat="1" spans="2:1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Industry Indicators</vt:lpstr>
      <vt:lpstr>指标整理</vt:lpstr>
      <vt:lpstr>需求1—主线板块确认</vt:lpstr>
      <vt:lpstr>需求1-产品文档</vt:lpstr>
      <vt:lpstr>报表2—主线板块龙头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18513233320手机用户</cp:lastModifiedBy>
  <dcterms:created xsi:type="dcterms:W3CDTF">2026-03-23T12:27:00Z</dcterms:created>
  <dcterms:modified xsi:type="dcterms:W3CDTF">2026-05-21T12:18:02Z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AAEF950C727546AB81B43776627B8638_13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