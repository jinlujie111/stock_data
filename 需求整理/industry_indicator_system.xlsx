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 firstSheet="1" activeTab="5"/>
  </bookViews>
  <sheets>
    <sheet name="Industry Indicators" sheetId="1" r:id="rId1"/>
    <sheet name="指标整理" sheetId="2" r:id="rId2"/>
    <sheet name="需求1—主线板块确认" sheetId="5" r:id="rId3"/>
    <sheet name="报表2—主线板块龙头" sheetId="4" r:id="rId4"/>
    <sheet name="需求3—量化主线板块" sheetId="6" r:id="rId5"/>
    <sheet name="AI产业数据库" sheetId="7" r:id="rId6"/>
    <sheet name="板块量价关系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<sst xmlns="http://schemas.openxmlformats.org/spreadsheetml/2006/main" count="995" uniqueCount="837">
  <si>
    <t>指标名称</t>
  </si>
  <si>
    <t>指标类型</t>
  </si>
  <si>
    <t>核心公式/逻辑</t>
  </si>
  <si>
    <t>数据来源</t>
  </si>
  <si>
    <t>更新频率</t>
  </si>
  <si>
    <t>价值说明</t>
  </si>
  <si>
    <t>供需拐点指标</t>
  </si>
  <si>
    <t>核心缺失</t>
  </si>
  <si>
    <t>需求增速变化 - 供给增速变化</t>
  </si>
  <si>
    <t>产能/出货数据</t>
  </si>
  <si>
    <t>月</t>
  </si>
  <si>
    <t>捕捉行业拐点</t>
  </si>
  <si>
    <t>景气×资金共振</t>
  </si>
  <si>
    <t>进阶指标</t>
  </si>
  <si>
    <t>景气评分 × 资金流入</t>
  </si>
  <si>
    <t>ETF/北向资金</t>
  </si>
  <si>
    <t>日</t>
  </si>
  <si>
    <t>确认趋势有效性</t>
  </si>
  <si>
    <t>库存周期</t>
  </si>
  <si>
    <t>库存+价格+需求分类</t>
  </si>
  <si>
    <t>行业库存/价格</t>
  </si>
  <si>
    <t>周/月</t>
  </si>
  <si>
    <t>周期股核心驱动</t>
  </si>
  <si>
    <t>行业拥挤度</t>
  </si>
  <si>
    <t>机构持仓+换手率+ETF占比</t>
  </si>
  <si>
    <t>基金持仓/交易数据</t>
  </si>
  <si>
    <t>周</t>
  </si>
  <si>
    <t>判断是否过热</t>
  </si>
  <si>
    <t>利润迁移指数</t>
  </si>
  <si>
    <t>稀缺指标</t>
  </si>
  <si>
    <t>上游利润变化 - 下游利润变化
利润迁移 =
上游毛利变化
- 中游毛利变化
- 下游毛利变化</t>
  </si>
  <si>
    <t>财报拆分</t>
  </si>
  <si>
    <t>季度</t>
  </si>
  <si>
    <t>找到最赚钱环节</t>
  </si>
  <si>
    <t>政策强度指数</t>
  </si>
  <si>
    <t>政策数量+级别+关键词</t>
  </si>
  <si>
    <t>政策公告</t>
  </si>
  <si>
    <t>A股重要驱动</t>
  </si>
  <si>
    <t>叙事强度指数</t>
  </si>
  <si>
    <t>前沿指标</t>
  </si>
  <si>
    <t>新闻/研报数量 × 情绪</t>
  </si>
  <si>
    <t>新闻/研报/社媒</t>
  </si>
  <si>
    <t>衡量市场情绪</t>
  </si>
  <si>
    <t>增速加速度</t>
  </si>
  <si>
    <t>优化指标</t>
  </si>
  <si>
    <t>本期增速 - 上期增速</t>
  </si>
  <si>
    <t>财报数据</t>
  </si>
  <si>
    <t>识别趋势变化</t>
  </si>
  <si>
    <t>库存水平</t>
  </si>
  <si>
    <t>库存/库存周转</t>
  </si>
  <si>
    <t>财报/API</t>
  </si>
  <si>
    <t>API调用</t>
  </si>
  <si>
    <t>利润</t>
  </si>
  <si>
    <t>盈利能力</t>
  </si>
  <si>
    <t>净利润/毛利率</t>
  </si>
  <si>
    <t>API</t>
  </si>
  <si>
    <t>扩展</t>
  </si>
  <si>
    <t>政策</t>
  </si>
  <si>
    <t>政策强度</t>
  </si>
  <si>
    <t>爬虫</t>
  </si>
  <si>
    <t>不定期</t>
  </si>
  <si>
    <t>爬虫+NLP</t>
  </si>
  <si>
    <t>产业链</t>
  </si>
  <si>
    <t>利润分布</t>
  </si>
  <si>
    <t>研报</t>
  </si>
  <si>
    <t>每月</t>
  </si>
  <si>
    <t>人工+结构化</t>
  </si>
  <si>
    <t>行业评分 =
估值(20%)
+ 景气(30%)
+ 供需(20%)
+ 资金(15%)
+ 预期差(15%)</t>
  </si>
  <si>
    <t>买入信号 =
景气上行
+ 供需改善
+ 预期差为正
+ 资金流入
+ 不拥挤</t>
  </si>
  <si>
    <t xml:space="preserve">| 信号 | 含义    |
| -- | ----- |
| 强买 | 全满足   |
| 买入 | 大部分满足 |
| 观望 | 中性    |
| 卖出 | 转弱    |
</t>
  </si>
  <si>
    <t>指标类别</t>
  </si>
  <si>
    <t>具体指标</t>
  </si>
  <si>
    <t>具体指标计算方式</t>
  </si>
  <si>
    <t>数据来源类型</t>
  </si>
  <si>
    <t>景气度</t>
  </si>
  <si>
    <t>需求-景气度</t>
  </si>
  <si>
    <t>行业需求</t>
  </si>
  <si>
    <t>出货量</t>
  </si>
  <si>
    <t>行业协会（最权威）
光模块：C&amp;C / LightCounting
新能源车：中汽协
半导体：SIA / WSTS
海关数据（替代）
中国海关总署（出口量）
公司侧（替代）
龙头公司公告（比如：出货、产能利用率）</t>
  </si>
  <si>
    <t>搞不定</t>
  </si>
  <si>
    <t>订单</t>
  </si>
  <si>
    <t>计算步骤：
--   1) 行业口径：AkShare 申万三级 sw_index_third_info / sw_index_third_cons。
--   2) 成分股范围：默认按「市值」降序取前 N 只（CLI --max-stocks，默认 60；0 表示全部成分，请求极慢）。
--   3) 对每只成分股拉取同花顺资产负债表 stock_financial_debt_ths(按报告期)，取列「合同负债」
--      在最新报告期（报告期排序后最后一行）的余额，解析为浮点数（源站多为亿元，带「亿」字时尽力解析）。
--   4) 将步骤 3 中成功解析的余额做求和：order_volume_proxy = SUM(合同负债_latest)。
--   5) stocks_sampled 为实际参与循环的成分股数；stocks_with_contract_liab 为成功取到合同负债的股数。
--
-- 业务含义：依据会计准则，「合同负债」主要核算已收客户对价、尚未履行履约义务的金额，实务中常作为
--   在手订单、订单蓄水规模的近似；本指标为行业层面加总代理，非物理「订单数量」，亦非全部 A 股行业
--   均适用（如部分金融企业报表无该科目，合计可能偏小）。</t>
  </si>
  <si>
    <t>上市公司财报（核心）
“合同负债”
“在手订单”
调研纪要（Wind / 同花顺）</t>
  </si>
  <si>
    <t>完成</t>
  </si>
  <si>
    <t>合同负债同比增速</t>
  </si>
  <si>
    <t>公司财报（现金流量表）</t>
  </si>
  <si>
    <t>出货增速</t>
  </si>
  <si>
    <t>渗透率</t>
  </si>
  <si>
    <t>行业需求评分</t>
  </si>
  <si>
    <t>Demand_score = AVG(
  percentile_rank(CAPEX增速),
  percentile_rank(出货增速),
  percentile_rank(渗透率)
)</t>
  </si>
  <si>
    <t>供给-景气度</t>
  </si>
  <si>
    <t>产能</t>
  </si>
  <si>
    <t>交期</t>
  </si>
  <si>
    <t>产能利用率</t>
  </si>
  <si>
    <t>扩产增速</t>
  </si>
  <si>
    <t>产能评分</t>
  </si>
  <si>
    <t>Supply_score = 
0.5*percentile_rank(交期) +
0.3*percentile_rank(产能利用率) -
0.2*percentile_rank(扩产增速)</t>
  </si>
  <si>
    <t>价格-景气度</t>
  </si>
  <si>
    <t>产品价格</t>
  </si>
  <si>
    <t>ASP同比</t>
  </si>
  <si>
    <t>ASP环比</t>
  </si>
  <si>
    <t>产品价格变动评分</t>
  </si>
  <si>
    <t>Price_score = 
0.6*percentile_rank(ASP_yoy) +
0.4*percentile_rank(ASP_mom)</t>
  </si>
  <si>
    <t>景气度值</t>
  </si>
  <si>
    <t>景气度评分</t>
  </si>
  <si>
    <t>Prosperity = 
0.4*Demand_score +
0.3*Supply_score +
0.3*Price_score</t>
  </si>
  <si>
    <t>兑现度</t>
  </si>
  <si>
    <t>兑现度-收入增速</t>
  </si>
  <si>
    <t>收入增速率</t>
  </si>
  <si>
    <t>收入增速</t>
  </si>
  <si>
    <t>revenue_yoy</t>
  </si>
  <si>
    <t>收入加速</t>
  </si>
  <si>
    <t>revenue_yoy - 上期</t>
  </si>
  <si>
    <t>兑现度-盈利质量</t>
  </si>
  <si>
    <t>盈利质量率</t>
  </si>
  <si>
    <t>毛利率</t>
  </si>
  <si>
    <t>毛利变化</t>
  </si>
  <si>
    <t>兑现度-订单支撑</t>
  </si>
  <si>
    <t>订单支撑率</t>
  </si>
  <si>
    <t>backlog增速</t>
  </si>
  <si>
    <t>backlog_yoy</t>
  </si>
  <si>
    <t>订单覆盖率</t>
  </si>
  <si>
    <t>backlog / revenue</t>
  </si>
  <si>
    <t>兑现度值</t>
  </si>
  <si>
    <t>兑现度评分</t>
  </si>
  <si>
    <t>Realization = 
0.4*percentile_rank(收入增速) +
0.2*percentile_rank(收入加速) +
0.2*percentile_rank(毛利率) +
0.2*percentile_rank(订单覆盖率)</t>
  </si>
  <si>
    <t>市场预期</t>
  </si>
  <si>
    <t>市场预期-估值</t>
  </si>
  <si>
    <t>PE/PS</t>
  </si>
  <si>
    <t>PE_TTM / PS</t>
  </si>
  <si>
    <t>估值分位</t>
  </si>
  <si>
    <t>PE历史分位</t>
  </si>
  <si>
    <t>估值评分</t>
  </si>
  <si>
    <t>Valuation_score = 
0.7*percentile_rank(PE分位) +
0.3*percentile_rank(PEG)</t>
  </si>
  <si>
    <t>市场预期-一致预期</t>
  </si>
  <si>
    <t>未来2年收入增速</t>
  </si>
  <si>
    <t>预期上调幅度</t>
  </si>
  <si>
    <t>一致预期评分</t>
  </si>
  <si>
    <t>Consensus_score =
0.6*percentile_rank(未来增速) +
0.4*percentile_rank(预期上调)</t>
  </si>
  <si>
    <t>市场预期-资金</t>
  </si>
  <si>
    <t>资金强度</t>
  </si>
  <si>
    <t>主力净流入-成交额</t>
  </si>
  <si>
    <t>资金趋势</t>
  </si>
  <si>
    <t>MA5 - MA20</t>
  </si>
  <si>
    <t>资金评分</t>
  </si>
  <si>
    <t>Flow_score =
0.5*percentile_rank(资金强度) +
0.5*percentile_rank(资金趋势)</t>
  </si>
  <si>
    <t>市场预期值</t>
  </si>
  <si>
    <t>市场预期值差</t>
  </si>
  <si>
    <t>Expectation = 
0.5*Valuation_score +
0.2*Consensus_score +
0.3*Flow_score</t>
  </si>
  <si>
    <t>结果-数据标准化</t>
  </si>
  <si>
    <t>情况1（最好的机会）：
| 指标   | 状态 |
| ---- | -- |
| 景气度  | 高  |
| 兑现度  | 高  |
| 市场预期 | 低  |</t>
  </si>
  <si>
    <t>情况2（现在很多CPO的状态）| 指标   | 状态 |
| ---- | -- |
| 景气度  | 高  |
| 兑现度  | 中  |
| 市场预期 | 很高 |</t>
  </si>
  <si>
    <t>情况3（危险）：
| 指标  | 状态  |
| --- | --- |
| 景气度 | 下降  |
| 兑现度 | 下降  |
| 预期  | 还很高 |</t>
  </si>
  <si>
    <t>资金 + 价格 + 量能 + 位置</t>
  </si>
  <si>
    <t>Sheet 1: 主线板块量化逻辑总览</t>
  </si>
  <si>
    <t>维度</t>
  </si>
  <si>
    <t>本质</t>
  </si>
  <si>
    <t>权重建议</t>
  </si>
  <si>
    <t>核心指标</t>
  </si>
  <si>
    <t>有没有持续大资金进入</t>
  </si>
  <si>
    <t>资金流入强度、资金连续性、资金加速度</t>
  </si>
  <si>
    <t>趋势强度</t>
  </si>
  <si>
    <t>是否进入主升浪</t>
  </si>
  <si>
    <t>相对强度(RS)、趋势结构、回撤修复速度</t>
  </si>
  <si>
    <t>市场热度</t>
  </si>
  <si>
    <t>是否成为市场焦点</t>
  </si>
  <si>
    <t>成交额占比、涨停扩散率、龙头带动性</t>
  </si>
  <si>
    <t>产业景气</t>
  </si>
  <si>
    <t>基本面是否支撑</t>
  </si>
  <si>
    <t>业绩增速、机构预期修正</t>
  </si>
  <si>
    <t>扩散效应</t>
  </si>
  <si>
    <t>是否形成赚钱效应</t>
  </si>
  <si>
    <t>上涨家数占比、20cm扩散</t>
  </si>
  <si>
    <r>
      <rPr>
        <b/>
        <sz val="12"/>
        <color rgb="FF060A26"/>
        <rFont val="Segoe UI"/>
        <charset val="134"/>
      </rPr>
      <t>主线得分公式</t>
    </r>
    <r>
      <rPr>
        <sz val="12"/>
        <color rgb="FF060A26"/>
        <rFont val="Segoe UI"/>
        <charset val="134"/>
      </rPr>
      <t>：</t>
    </r>
  </si>
  <si>
    <t>= 资金强度 × 35% + 趋势强度 × 25% + 市场热度 × 15% + 产业景气 × 15% + 扩散效应 × 10%</t>
  </si>
  <si>
    <t>指标</t>
  </si>
  <si>
    <t>公式/定义</t>
  </si>
  <si>
    <t>意义</t>
  </si>
  <si>
    <t>资金流入强度</t>
  </si>
  <si>
    <t>行业净流入 / 行业成交额</t>
  </si>
  <si>
    <t>排除成交额影响，识别真实抢筹</t>
  </si>
  <si>
    <t>资金连续性</t>
  </si>
  <si>
    <t>连续净流入天数（如5~10天）</t>
  </si>
  <si>
    <t>判断是否持续获得增量资金</t>
  </si>
  <si>
    <t>资金加速度</t>
  </si>
  <si>
    <t>今日净流入 - 过去5日平均净流入</t>
  </si>
  <si>
    <t>识别抢筹启动信号</t>
  </si>
  <si>
    <t>相对强度(RS)</t>
  </si>
  <si>
    <t>行业涨幅 - 沪深300涨幅</t>
  </si>
  <si>
    <t>判断是否跑赢大盘</t>
  </si>
  <si>
    <t>趋势结构</t>
  </si>
  <si>
    <t>5日线 &gt; 10日线 &gt; 20日线 且 创60日新高</t>
  </si>
  <si>
    <t>确认主升浪</t>
  </si>
  <si>
    <t>回撤修复速度</t>
  </si>
  <si>
    <t>调整X%后恢复所需天数</t>
  </si>
  <si>
    <t>衡量抗跌性与强势程度</t>
  </si>
  <si>
    <t>成交额占比</t>
  </si>
  <si>
    <t>行业成交额 / 全市场成交额</t>
  </si>
  <si>
    <t>反映市场聚焦程度</t>
  </si>
  <si>
    <t>涨停扩散率</t>
  </si>
  <si>
    <t>行业当日涨停股票数量</t>
  </si>
  <si>
    <t>衡量情绪强度</t>
  </si>
  <si>
    <t>龙头带动性</t>
  </si>
  <si>
    <t>中军+趋势+补涨股同步上涨</t>
  </si>
  <si>
    <t>判断板块联动性</t>
  </si>
  <si>
    <t>产业景气（15%）</t>
  </si>
  <si>
    <t>业绩增速</t>
  </si>
  <si>
    <t>行业利润同比增速</t>
  </si>
  <si>
    <t>基本面支撑力度</t>
  </si>
  <si>
    <t>机构预期修正</t>
  </si>
  <si>
    <t>未来一年盈利预测是否持续上修</t>
  </si>
  <si>
    <t>反映长期信心</t>
  </si>
  <si>
    <t>扩散效应（10%）</t>
  </si>
  <si>
    <t>上涨家数占比</t>
  </si>
  <si>
    <t>行业内上涨股票数 / 总股票数</t>
  </si>
  <si>
    <t>赚钱效应广度</t>
  </si>
  <si>
    <t>20cm扩散</t>
  </si>
  <si>
    <t>板块内20%涨停（创业板/科创板）数量</t>
  </si>
  <si>
    <t>反映高风险偏好情绪</t>
  </si>
  <si>
    <t>Sheet 3: 主线评分系统与等级划分</t>
  </si>
  <si>
    <t>步骤</t>
  </si>
  <si>
    <t>操作说明</t>
  </si>
  <si>
    <t>Step 1</t>
  </si>
  <si>
    <t>计算各行业在五大维度的标准化得分（0-100）</t>
  </si>
  <si>
    <t>Step 2</t>
  </si>
  <si>
    <t>加权计算总分：总分 = Σ(维度得分 × 权重)</t>
  </si>
  <si>
    <t>Step 3</t>
  </si>
  <si>
    <t>滚动计算最近3日、5日、10日平均分，避免单日噪音</t>
  </si>
  <si>
    <t>Step 4</t>
  </si>
  <si>
    <t>按总分划分主线等级</t>
  </si>
  <si>
    <r>
      <rPr>
        <b/>
        <sz val="12"/>
        <color rgb="FF060A26"/>
        <rFont val="Segoe UI"/>
        <charset val="134"/>
      </rPr>
      <t>主线等级标准</t>
    </r>
    <r>
      <rPr>
        <sz val="12"/>
        <color rgb="FF060A26"/>
        <rFont val="Segoe UI"/>
        <charset val="134"/>
      </rPr>
      <t>：</t>
    </r>
  </si>
  <si>
    <t>主线得分</t>
  </si>
  <si>
    <t>定义</t>
  </si>
  <si>
    <t>&gt;85</t>
  </si>
  <si>
    <t>超级主线</t>
  </si>
  <si>
    <t>70~85</t>
  </si>
  <si>
    <t>主线</t>
  </si>
  <si>
    <t>60~70</t>
  </si>
  <si>
    <t>轮动热点</t>
  </si>
  <si>
    <t>&lt;60</t>
  </si>
  <si>
    <t>跟风</t>
  </si>
  <si>
    <t>Sheet 4: 主线确认三阶段信号</t>
  </si>
  <si>
    <t>阶段</t>
  </si>
  <si>
    <t>特征</t>
  </si>
  <si>
    <t>量化信号</t>
  </si>
  <si>
    <t>第一阶段：资金试探</t>
  </si>
  <si>
    <t>小幅放量、龙头先涨</t>
  </si>
  <si>
    <t>净流入增加、龙头创阶段新高</t>
  </si>
  <si>
    <t>第二阶段：板块爆发</t>
  </si>
  <si>
    <t>连续大涨、涨停扩散</t>
  </si>
  <si>
    <t>成交占比↑、涨停数↑、RS持续&gt;0</t>
  </si>
  <si>
    <t>第三阶段：机构化</t>
  </si>
  <si>
    <t>趋势化上涨、大市值接力</t>
  </si>
  <si>
    <t>ETF持续流入、大票领涨、波动率下降</t>
  </si>
  <si>
    <t>Sheet 5: 系统输出示例（每日监控表）</t>
  </si>
  <si>
    <t>排名</t>
  </si>
  <si>
    <t>行业</t>
  </si>
  <si>
    <t>资金连续流入(天)</t>
  </si>
  <si>
    <t>RS(5日)</t>
  </si>
  <si>
    <t>涨停数</t>
  </si>
  <si>
    <t>等级</t>
  </si>
  <si>
    <t>创新药</t>
  </si>
  <si>
    <t>CPO</t>
  </si>
  <si>
    <t>电力设备</t>
  </si>
  <si>
    <t>一、核心数据层（最重要）</t>
  </si>
  <si>
    <t>Sheet 1: 系统数据层级架构</t>
  </si>
  <si>
    <t>层级</t>
  </si>
  <si>
    <t>内容</t>
  </si>
  <si>
    <t>说明</t>
  </si>
  <si>
    <t>L1</t>
  </si>
  <si>
    <t>股票基础行情</t>
  </si>
  <si>
    <t>所有计算的基础</t>
  </si>
  <si>
    <t>L2</t>
  </si>
  <si>
    <t>行业板块数据</t>
  </si>
  <si>
    <t>行业指数、成分股</t>
  </si>
  <si>
    <t>L3</t>
  </si>
  <si>
    <t>资金流数据</t>
  </si>
  <si>
    <t>主线识别最核心</t>
  </si>
  <si>
    <t>L4</t>
  </si>
  <si>
    <t>情绪数据</t>
  </si>
  <si>
    <t>涨停、涨跌家数等</t>
  </si>
  <si>
    <t>L5</t>
  </si>
  <si>
    <t>基本面/景气数据</t>
  </si>
  <si>
    <t>业绩、ROE等</t>
  </si>
  <si>
    <t>L6</t>
  </si>
  <si>
    <t>机构预期数据</t>
  </si>
  <si>
    <t>盈利预测修正</t>
  </si>
  <si>
    <t>L7</t>
  </si>
  <si>
    <t>宏观数据</t>
  </si>
  <si>
    <t>（可选，进阶）</t>
  </si>
  <si>
    <t>Sheet 2: 必须采集的核心数据表清单</t>
  </si>
  <si>
    <t>序号</t>
  </si>
  <si>
    <t>数据表名</t>
  </si>
  <si>
    <t>对应层级</t>
  </si>
  <si>
    <t>用途</t>
  </si>
  <si>
    <t>优先级</t>
  </si>
  <si>
    <t>stock_daily_di</t>
  </si>
  <si>
    <t>计算行业涨幅、RS、趋势等</t>
  </si>
  <si>
    <t>S</t>
  </si>
  <si>
    <t>industry_index_di</t>
  </si>
  <si>
    <t>行业主升浪、成交占比</t>
  </si>
  <si>
    <t>industry_fund_flow_di</t>
  </si>
  <si>
    <t>识别增量资金、主力动向</t>
  </si>
  <si>
    <t>stock_fund_flow_di</t>
  </si>
  <si>
    <t>识别龙头、补涨、扩散</t>
  </si>
  <si>
    <t>A</t>
  </si>
  <si>
    <t>limit_up_di</t>
  </si>
  <si>
    <t>赚钱效应、情绪周期</t>
  </si>
  <si>
    <t>market_breadth_di</t>
  </si>
  <si>
    <t>市场风险偏好</t>
  </si>
  <si>
    <t>industry_member_di</t>
  </si>
  <si>
    <t>行业聚合、联动分析</t>
  </si>
  <si>
    <t>financial_indicator_di</t>
  </si>
  <si>
    <t>景气度、业绩支撑</t>
  </si>
  <si>
    <t>institution_forecast_di</t>
  </si>
  <si>
    <t>预期上修信号</t>
  </si>
  <si>
    <t>etf_flow_di</t>
  </si>
  <si>
    <t>L3/L6</t>
  </si>
  <si>
    <t>机构加仓方向</t>
  </si>
  <si>
    <t>lhb_di</t>
  </si>
  <si>
    <t>游资 vs 机构主导</t>
  </si>
  <si>
    <t>B</t>
  </si>
  <si>
    <t>news_hot_di</t>
  </si>
  <si>
    <t>热点共识扩散</t>
  </si>
  <si>
    <t>📌 Sheet 3: 核心数据表字段定义</t>
  </si>
  <si>
    <r>
      <rPr>
        <b/>
        <sz val="12"/>
        <color rgb="FF060A26"/>
        <rFont val="Segoe UI"/>
        <charset val="134"/>
      </rPr>
      <t xml:space="preserve">1. </t>
    </r>
    <r>
      <rPr>
        <b/>
        <sz val="12"/>
        <color rgb="FF060A26"/>
        <rFont val="宋体"/>
        <charset val="134"/>
      </rPr>
      <t>股票日线行情</t>
    </r>
    <r>
      <rPr>
        <b/>
        <sz val="12"/>
        <color rgb="FF060A26"/>
        <rFont val="Segoe UI"/>
        <charset val="134"/>
      </rPr>
      <t xml:space="preserve"> (</t>
    </r>
    <r>
      <rPr>
        <b/>
        <sz val="10.5"/>
        <color rgb="FF060A26"/>
        <rFont val="Consolas"/>
        <charset val="134"/>
      </rPr>
      <t>stock_daily_di</t>
    </r>
    <r>
      <rPr>
        <b/>
        <sz val="12"/>
        <color rgb="FF060A26"/>
        <rFont val="Segoe UI"/>
        <charset val="134"/>
      </rPr>
      <t>)</t>
    </r>
  </si>
  <si>
    <t>字段</t>
  </si>
  <si>
    <t>trade_date</t>
  </si>
  <si>
    <t>日期</t>
  </si>
  <si>
    <t>stock_code</t>
  </si>
  <si>
    <t>股票代码</t>
  </si>
  <si>
    <t>close_price</t>
  </si>
  <si>
    <t>收盘价</t>
  </si>
  <si>
    <t>open_price</t>
  </si>
  <si>
    <t>开盘价</t>
  </si>
  <si>
    <t>high_price</t>
  </si>
  <si>
    <t>最高价</t>
  </si>
  <si>
    <t>low_price</t>
  </si>
  <si>
    <t>最低价</t>
  </si>
  <si>
    <t>pct_chg</t>
  </si>
  <si>
    <t>涨跌幅</t>
  </si>
  <si>
    <t>volume</t>
  </si>
  <si>
    <t>成交量</t>
  </si>
  <si>
    <t>amount</t>
  </si>
  <si>
    <t>成交额</t>
  </si>
  <si>
    <t>turnover</t>
  </si>
  <si>
    <t>换手率</t>
  </si>
  <si>
    <t>amplitude</t>
  </si>
  <si>
    <t>振幅</t>
  </si>
  <si>
    <t>market_value</t>
  </si>
  <si>
    <t>总市值</t>
  </si>
  <si>
    <r>
      <rPr>
        <b/>
        <sz val="12"/>
        <color rgb="FF060A26"/>
        <rFont val="Segoe UI"/>
        <charset val="134"/>
      </rPr>
      <t>2. 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</si>
  <si>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t>industry_code</t>
  </si>
  <si>
    <t>行业代码</t>
  </si>
  <si>
    <t>industry_name</t>
  </si>
  <si>
    <t>行业名称</t>
  </si>
  <si>
    <t>close</t>
  </si>
  <si>
    <t>指数收盘值</t>
  </si>
  <si>
    <t>pe</t>
  </si>
  <si>
    <t>市盈率</t>
  </si>
  <si>
    <t>pb</t>
  </si>
  <si>
    <t>市净率</t>
  </si>
  <si>
    <r>
      <rPr>
        <b/>
        <sz val="12"/>
        <color rgb="FF060A26"/>
        <rFont val="Segoe UI"/>
        <charset val="134"/>
      </rPr>
      <t>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</si>
  <si>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r>
      <rPr>
        <b/>
        <sz val="12"/>
        <color rgb="FF060A26"/>
        <rFont val="Segoe UI"/>
        <charset val="134"/>
      </rPr>
      <t>行业资金流 (</t>
    </r>
    <r>
      <rPr>
        <b/>
        <sz val="10.5"/>
        <color rgb="FF060A26"/>
        <rFont val="Consolas"/>
        <charset val="134"/>
      </rPr>
      <t>industry_fund_flow_di</t>
    </r>
    <r>
      <rPr>
        <b/>
        <sz val="12"/>
        <color rgb="FF060A26"/>
        <rFont val="Segoe UI"/>
        <charset val="134"/>
      </rPr>
      <t>)</t>
    </r>
  </si>
  <si>
    <t>net_inflow</t>
  </si>
  <si>
    <t>主力净流入（万元）</t>
  </si>
  <si>
    <t>super_inflow</t>
  </si>
  <si>
    <t>超大单净流入</t>
  </si>
  <si>
    <t>large_inflow</t>
  </si>
  <si>
    <t>大单净流入</t>
  </si>
  <si>
    <t>medium_inflow</t>
  </si>
  <si>
    <t>中单净流入</t>
  </si>
  <si>
    <t>retail_inflow</t>
  </si>
  <si>
    <t>散户净流入</t>
  </si>
  <si>
    <t>inflow_ratio</t>
  </si>
  <si>
    <t>净流入 / 成交额</t>
  </si>
  <si>
    <r>
      <rPr>
        <b/>
        <sz val="12"/>
        <color rgb="FF060A26"/>
        <rFont val="Segoe UI"/>
        <charset val="134"/>
      </rPr>
      <t>涨停数据 (</t>
    </r>
    <r>
      <rPr>
        <b/>
        <sz val="10.5"/>
        <color rgb="FF060A26"/>
        <rFont val="Consolas"/>
        <charset val="134"/>
      </rPr>
      <t>limit_up_di</t>
    </r>
    <r>
      <rPr>
        <b/>
        <sz val="12"/>
        <color rgb="FF060A26"/>
        <rFont val="Segoe UI"/>
        <charset val="134"/>
      </rPr>
      <t>)</t>
    </r>
  </si>
  <si>
    <t>first_limit_time</t>
  </si>
  <si>
    <t>首封时间</t>
  </si>
  <si>
    <t>final_limit_time</t>
  </si>
  <si>
    <t>最终封板时间</t>
  </si>
  <si>
    <t>limit_reason</t>
  </si>
  <si>
    <t>涨停原因（题材）</t>
  </si>
  <si>
    <t>consecutive_limit</t>
  </si>
  <si>
    <t>连板数</t>
  </si>
  <si>
    <t>blast_count</t>
  </si>
  <si>
    <t>炸板次数</t>
  </si>
  <si>
    <r>
      <rPr>
        <b/>
        <sz val="12"/>
        <color rgb="FF060A26"/>
        <rFont val="Segoe UI"/>
        <charset val="134"/>
      </rPr>
      <t>机构预期 (</t>
    </r>
    <r>
      <rPr>
        <b/>
        <sz val="10.5"/>
        <color rgb="FF060A26"/>
        <rFont val="Consolas"/>
        <charset val="134"/>
      </rPr>
      <t>institution_forecast_di</t>
    </r>
    <r>
      <rPr>
        <b/>
        <sz val="12"/>
        <color rgb="FF060A26"/>
        <rFont val="Segoe UI"/>
        <charset val="134"/>
      </rPr>
      <t>)</t>
    </r>
  </si>
  <si>
    <t>eps_forecast</t>
  </si>
  <si>
    <t>EPS一致预期</t>
  </si>
  <si>
    <t>profit_forecast</t>
  </si>
  <si>
    <t>净利润预期（亿元）</t>
  </si>
  <si>
    <t>forecast_change</t>
  </si>
  <si>
    <t>预期上调比例（%）</t>
  </si>
  <si>
    <t>rating</t>
  </si>
  <si>
    <t>买入评级占比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</si>
  <si>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4: 核心因子计算清单</t>
    </r>
  </si>
  <si>
    <t>类别</t>
  </si>
  <si>
    <t>因子名称</t>
  </si>
  <si>
    <t>计算逻辑</t>
  </si>
  <si>
    <t>来源表</t>
  </si>
  <si>
    <t>资金类</t>
  </si>
  <si>
    <t>连续净流入天数</t>
  </si>
  <si>
    <t>连续N日 net_inflow &gt; 0</t>
  </si>
  <si>
    <t>今日净流入 - 近5日均值</t>
  </si>
  <si>
    <t>超大单占比</t>
  </si>
  <si>
    <t>super_inflow / net_inflow</t>
  </si>
  <si>
    <t>趋势类</t>
  </si>
  <si>
    <t>行业RS</t>
  </si>
  <si>
    <t>industry_index_di + index</t>
  </si>
  <si>
    <t>均线多头</t>
  </si>
  <si>
    <t>5日线 &gt; 10日线 &gt; 20日线</t>
  </si>
  <si>
    <t>新高强度</t>
  </si>
  <si>
    <t>是否创60日新高</t>
  </si>
  <si>
    <t>跌3%后几天收复失地</t>
  </si>
  <si>
    <t>情绪类</t>
  </si>
  <si>
    <t>涨停数 / 行业成分股总数</t>
  </si>
  <si>
    <t>limit_up_di + industry_member_di</t>
  </si>
  <si>
    <t>连板高度</t>
  </si>
  <si>
    <t>行业内最高连板数</t>
  </si>
  <si>
    <t>赚钱效应</t>
  </si>
  <si>
    <t>上涨家数占比 + 涨停强度</t>
  </si>
  <si>
    <t>景气类</t>
  </si>
  <si>
    <t>利润增速</t>
  </si>
  <si>
    <t>同比净利润增长率</t>
  </si>
  <si>
    <t>预期修正</t>
  </si>
  <si>
    <t>近1月盈利预测上调幅度</t>
  </si>
  <si>
    <t>ROE</t>
  </si>
  <si>
    <t>行业平均ROE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</si>
  <si>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5: 主线评分模型输出示例</t>
    </r>
  </si>
  <si>
    <t>资金得分 (35%)</t>
  </si>
  <si>
    <t>趋势得分 (25%)</t>
  </si>
  <si>
    <t>情绪得分 (15%)</t>
  </si>
  <si>
    <t>景气得分 (15%)</t>
  </si>
  <si>
    <t>扩散得分 (10%)</t>
  </si>
  <si>
    <t>总分</t>
  </si>
  <si>
    <t>银行</t>
  </si>
  <si>
    <t>Sheet 6: 实施优先级与数据源建议</t>
  </si>
  <si>
    <t>优先级排序</t>
  </si>
  <si>
    <t>行业资金流、行业趋势、行业成交额</t>
  </si>
  <si>
    <t>涨停扩散、ETF资金、财务景气</t>
  </si>
  <si>
    <t>龙虎榜、新闻舆情</t>
  </si>
  <si>
    <t>数据源推荐</t>
  </si>
  <si>
    <t>数据类型</t>
  </si>
  <si>
    <t>免费方案</t>
  </si>
  <si>
    <t>付费方案</t>
  </si>
  <si>
    <t>行情/行业</t>
  </si>
  <si>
    <t>AkShare</t>
  </si>
  <si>
    <t>Wind, iFinD</t>
  </si>
  <si>
    <t>资金流</t>
  </si>
  <si>
    <t>东方财富网</t>
  </si>
  <si>
    <t>Choice, iFinD</t>
  </si>
  <si>
    <t>涨停</t>
  </si>
  <si>
    <t>同花顺网页抓取</t>
  </si>
  <si>
    <t>聚宽, Tushare Pro</t>
  </si>
  <si>
    <t>ETF</t>
  </si>
  <si>
    <t>天天基金网</t>
  </si>
  <si>
    <t>Wind</t>
  </si>
  <si>
    <t>财务</t>
  </si>
  <si>
    <t>Tushare</t>
  </si>
  <si>
    <t>iFinD</t>
  </si>
  <si>
    <t>机构预期</t>
  </si>
  <si>
    <t>——</t>
  </si>
  <si>
    <t>iFinD, Choice</t>
  </si>
  <si>
    <t>交易日期</t>
  </si>
  <si>
    <t>热点股票</t>
  </si>
  <si>
    <t>是否龙头</t>
  </si>
  <si>
    <t>重点介绍</t>
  </si>
  <si>
    <t>一、Excel 整体结构建议（三层系统）</t>
  </si>
  <si>
    <t>工作表名称</t>
  </si>
  <si>
    <t>功能说明</t>
  </si>
  <si>
    <t>01_原始数据</t>
  </si>
  <si>
    <t>存放每日各行业（申万一级/二级）原始指标</t>
  </si>
  <si>
    <t>02_因子计算</t>
  </si>
  <si>
    <t>计算 F/T/E/L/P 各子因子和主因子</t>
  </si>
  <si>
    <t>03_MainScore</t>
  </si>
  <si>
    <t>汇总 MainScore 并排序，生成 Top3 主线池</t>
  </si>
  <si>
    <t>04_信号判断</t>
  </si>
  <si>
    <t>判断“启动”或“退潮”信号（布尔值）</t>
  </si>
  <si>
    <t>05_参数配置</t>
  </si>
  <si>
    <t>存放权重（如 0.3F+0.3T...）、阈值（如 RS&gt;1.2）等可调参数</t>
  </si>
  <si>
    <t>关键字段与公式映射（按你的模型）</t>
  </si>
  <si>
    <t>资金强度 F = 0.4A + 0.3V + 0.2ETF + 0.1H</t>
  </si>
  <si>
    <t>计算方式</t>
  </si>
  <si>
    <t>数据来源建议</t>
  </si>
  <si>
    <t>A（成交额占比）</t>
  </si>
  <si>
    <t>行业当日成交额 / 全A成交额</t>
  </si>
  <si>
    <t>Wind / Tushare / 聚宽</t>
  </si>
  <si>
    <t>V（成交额增速）</t>
  </si>
  <si>
    <t>MA5(行业成交额) / MA20(行业成交额)</t>
  </si>
  <si>
    <t>需滚动计算</t>
  </si>
  <si>
    <t>ETF（ETF净流入强度）</t>
  </si>
  <si>
    <t>行业相关ETF近5日净流入 / ETF总规模</t>
  </si>
  <si>
    <t>需维护行业-ETF映射表（如芯片ETF→半导体）</t>
  </si>
  <si>
    <t>H（换手活跃度）</t>
  </si>
  <si>
    <t>行业平均换手率 / 全市场平均换手率</t>
  </si>
  <si>
    <t>注意剔除新股/ST</t>
  </si>
  <si>
    <t>2. 趋势强度 T = 0.4RS + 0.3N + 0.2R + 0.1M</t>
  </si>
  <si>
    <t>RS（相对强度）</t>
  </si>
  <si>
    <t>行业20日收益率 / 全A（如沪深300）20日收益率</t>
  </si>
  <si>
    <t>N（创新高比例）</t>
  </si>
  <si>
    <t>行业内近1年新高个股数 / 行业总股数</t>
  </si>
  <si>
    <t>R（回撤修复速度）</t>
  </si>
  <si>
    <t>最近一次回撤天数 / 修复至前高的天数（越小越好 → 取倒数或标准化）</t>
  </si>
  <si>
    <t>M（均线斜率）</t>
  </si>
  <si>
    <t>对MA30做线性回归，取斜率（可用SLOPE函数）</t>
  </si>
  <si>
    <t>3. 情绪扩散 E = 0.35Z + 0.25J + 0.2B + 0.2U</t>
  </si>
  <si>
    <t>Z（涨停扩散率）</t>
  </si>
  <si>
    <t>行业涨停数 / 行业总股数</t>
  </si>
  <si>
    <t>J（晋级率）</t>
  </si>
  <si>
    <t>昨日涨停今日继续涨停数 / 昨日涨停总数</t>
  </si>
  <si>
    <t>B（炸板率反向）</t>
  </si>
  <si>
    <t>1 - （炸板数 / 触板数）→ 炸板越少越好</t>
  </si>
  <si>
    <t>U（上涨扩散）</t>
  </si>
  <si>
    <t>行业上涨个股数 / 总股数</t>
  </si>
  <si>
    <t>4. 龙头强度 L = 0.5LR + 0.3LC + 0.2LP</t>
  </si>
  <si>
    <t>LR（龙头超额收益）</t>
  </si>
  <si>
    <t>龙头股20日收益 - 沪深300同期收益</t>
  </si>
  <si>
    <t>LC（连板高度）</t>
  </si>
  <si>
    <t>行业内最高连板数（如 5 连板）</t>
  </si>
  <si>
    <t>LP（龙头溢价）</t>
  </si>
  <si>
    <t>龙头股次日平均开盘/收盘涨幅（需历史回测统计）</t>
  </si>
  <si>
    <t>5. 产业景气 P = 0.5Earnings + 0.3Policy + 0.2Forecast</t>
  </si>
  <si>
    <t>实操建议</t>
  </si>
  <si>
    <t>Earnings</t>
  </si>
  <si>
    <t>行业一致预期净利润增速（可用 Wind 一致预期）</t>
  </si>
  <si>
    <t>Policy</t>
  </si>
  <si>
    <t>政策热度（可人工打分 0-1，或用 NLP 抓新闻关键词）</t>
  </si>
  <si>
    <t>Forecast</t>
  </si>
  <si>
    <t>机构上调评级比例 / 行业研报数量月环比</t>
  </si>
  <si>
    <t>三、MainScore 计算（核心）</t>
  </si>
  <si>
    <t>MainScore = $F$权重 * F标准化值 + $T$权重 * T标准化值 + $E$权重 * E标准化值 + $L$权重 * L标准化值 + $P$权重 * P标准化值</t>
  </si>
  <si>
    <t>四、实战信号判断（04_信号判断）</t>
  </si>
  <si>
    <t>信号类型</t>
  </si>
  <si>
    <t>判断条件（AND）</t>
  </si>
  <si>
    <t>主线启动</t>
  </si>
  <si>
    <t>RS &gt; 1.2</t>
  </si>
  <si>
    <t>A 连续3日上升</t>
  </si>
  <si>
    <t>Z &gt; 1.5 × 全市场平均Z</t>
  </si>
  <si>
    <t>龙头创新高</t>
  </si>
  <si>
    <t>R ≤ 3（3日内修复）</t>
  </si>
  <si>
    <t>主线退潮</t>
  </si>
  <si>
    <t>RS &lt; 0.9</t>
  </si>
  <si>
    <t>A 连续2日下降</t>
  </si>
  <si>
    <t>龙头出现“A杀”（-7%以上）</t>
  </si>
  <si>
    <t>B（炸板率）&gt; 40%</t>
  </si>
  <si>
    <t>五、最终输出建议</t>
  </si>
  <si>
    <t>每天收盘后运行，输出：</t>
  </si>
  <si>
    <t>Top3 主线行业</t>
  </si>
  <si>
    <t>是否触发启动/退潮信号</t>
  </si>
  <si>
    <t>各因子雷达图（可视化）</t>
  </si>
  <si>
    <t>数据获取建议（免费/低成本）</t>
  </si>
  <si>
    <t>数据项</t>
  </si>
  <si>
    <t>工具</t>
  </si>
  <si>
    <t>行业行情、成分股</t>
  </si>
  <si>
    <t>Tushare Pro（免费额度够用）</t>
  </si>
  <si>
    <t>涨停/炸板数据</t>
  </si>
  <si>
    <t>Tushare limit_list 或 AKShare</t>
  </si>
  <si>
    <t>ETF资金流</t>
  </si>
  <si>
    <t>东方财富网 / 集思录（需爬虫）</t>
  </si>
  <si>
    <t>一致预期</t>
  </si>
  <si>
    <t>如果无Wind，可用“过去4季度净利润增速”替代</t>
  </si>
  <si>
    <t>产业线</t>
  </si>
  <si>
    <t>板块</t>
  </si>
  <si>
    <t>细分板块</t>
  </si>
  <si>
    <t>产品</t>
  </si>
  <si>
    <t>板块订单情况</t>
  </si>
  <si>
    <t>产品对应龙头前3，毛利、收入、利润</t>
  </si>
  <si>
    <t>客户</t>
  </si>
  <si>
    <t>风险点</t>
  </si>
  <si>
    <t>AI产业线</t>
  </si>
  <si>
    <t>上游基础层</t>
  </si>
  <si>
    <t>AI芯片</t>
  </si>
  <si>
    <t>GPU/AI训练芯片</t>
  </si>
  <si>
    <t>AI推理芯片</t>
  </si>
  <si>
    <t>HBM（高带宽存储）</t>
  </si>
  <si>
    <t>存算一体芯片</t>
  </si>
  <si>
    <t>服务器与设备</t>
  </si>
  <si>
    <t>AI服务器</t>
  </si>
  <si>
    <t xml:space="preserve">液冷服务器 </t>
  </si>
  <si>
    <t>存储设备</t>
  </si>
  <si>
    <t>网络通信硬件</t>
  </si>
  <si>
    <t>CPO光模块</t>
  </si>
  <si>
    <t>光器件</t>
  </si>
  <si>
    <t>高速铜连接</t>
  </si>
  <si>
    <t>光纤光缆</t>
  </si>
  <si>
    <t>PCB</t>
  </si>
  <si>
    <t>数据中心与基础设施</t>
  </si>
  <si>
    <t>IDC（互联网数据中心</t>
  </si>
  <si>
    <t>AIDC（智算中心）</t>
  </si>
  <si>
    <t>超节点技术</t>
  </si>
  <si>
    <t>供配电/制冷系统</t>
  </si>
  <si>
    <t>数据服务</t>
  </si>
  <si>
    <t>数据标注/脱敏</t>
  </si>
  <si>
    <t>合成数据</t>
  </si>
  <si>
    <t>中游技术层：算法、模型与平台</t>
  </si>
  <si>
    <t>大模型</t>
  </si>
  <si>
    <t>语言大模型</t>
  </si>
  <si>
    <t>多模态大模型</t>
  </si>
  <si>
    <t>推理模型</t>
  </si>
  <si>
    <t>AI算法与技术</t>
  </si>
  <si>
    <t>AIGC（生成式AI）</t>
  </si>
  <si>
    <t>机器视觉</t>
  </si>
  <si>
    <t>虚拟人/数字人</t>
  </si>
  <si>
    <t>智能体（Agent）</t>
  </si>
  <si>
    <t>软件与服务</t>
  </si>
  <si>
    <t xml:space="preserve">基础及通用软件 </t>
  </si>
  <si>
    <t xml:space="preserve">行业应用软件 </t>
  </si>
  <si>
    <t xml:space="preserve">操作系统 </t>
  </si>
  <si>
    <t xml:space="preserve">办公软件 </t>
  </si>
  <si>
    <t xml:space="preserve">网络安全 </t>
  </si>
  <si>
    <t xml:space="preserve">物联网 </t>
  </si>
  <si>
    <t>云计算与平台服务</t>
  </si>
  <si>
    <r>
      <rPr>
        <sz val="11"/>
        <color theme="1"/>
        <rFont val="宋体"/>
        <charset val="134"/>
        <scheme val="minor"/>
      </rPr>
      <t>云计算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</si>
  <si>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SaaS（软件即服务）</t>
    </r>
    <r>
      <rPr>
        <sz val="12"/>
        <color rgb="FF0F1115"/>
        <rFont val="Segoe UI"/>
        <charset val="134"/>
      </rPr>
      <t> </t>
    </r>
  </si>
  <si>
    <t>MaaS（模型即服务）</t>
  </si>
  <si>
    <t>边缘计算</t>
  </si>
  <si>
    <t>下游应用层</t>
  </si>
  <si>
    <t>端侧AI（AI硬件）</t>
  </si>
  <si>
    <t>AI手机</t>
  </si>
  <si>
    <r>
      <rPr>
        <sz val="11"/>
        <color theme="1"/>
        <rFont val="宋体"/>
        <charset val="134"/>
        <scheme val="minor"/>
      </rPr>
      <t>AI PC</t>
    </r>
    <r>
      <rPr>
        <sz val="12"/>
        <color rgb="FF0F1115"/>
        <rFont val="Segoe UI"/>
        <charset val="134"/>
      </rPr>
      <t> </t>
    </r>
  </si>
  <si>
    <t>AI眼镜</t>
  </si>
  <si>
    <t>AI穿戴设备</t>
  </si>
  <si>
    <t>智能家居</t>
  </si>
  <si>
    <t>AIoT设备</t>
  </si>
  <si>
    <t>智能驾驶</t>
  </si>
  <si>
    <r>
      <rPr>
        <sz val="11"/>
        <color theme="1"/>
        <rFont val="宋体"/>
        <charset val="134"/>
        <scheme val="minor"/>
      </rPr>
      <t>L2+/L3智能驾驶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</si>
  <si>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Robotaxi（自动驾驶出租车）</t>
    </r>
    <r>
      <rPr>
        <sz val="12"/>
        <color rgb="FF0F1115"/>
        <rFont val="Segoe UI"/>
        <charset val="134"/>
      </rPr>
      <t> </t>
    </r>
  </si>
  <si>
    <t>智驾芯片</t>
  </si>
  <si>
    <t>激光雷达</t>
  </si>
  <si>
    <t>人形机器人/具身智能</t>
  </si>
  <si>
    <r>
      <rPr>
        <sz val="11"/>
        <color theme="1"/>
        <rFont val="宋体"/>
        <charset val="134"/>
        <scheme val="minor"/>
      </rPr>
      <t>人形机器人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</si>
  <si>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具身智能</t>
    </r>
    <r>
      <rPr>
        <sz val="12"/>
        <color rgb="FF0F1115"/>
        <rFont val="Segoe UI"/>
        <charset val="134"/>
      </rPr>
      <t>（进入实训阶段）</t>
    </r>
  </si>
  <si>
    <t>企业级AI应用</t>
  </si>
  <si>
    <r>
      <rPr>
        <sz val="11"/>
        <color theme="1"/>
        <rFont val="宋体"/>
        <charset val="134"/>
        <scheme val="minor"/>
      </rPr>
      <t>企业级AI Agent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</si>
  <si>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AI办公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</si>
  <si>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AI编程</t>
    </r>
    <r>
      <rPr>
        <sz val="12"/>
        <color rgb="FF0F1115"/>
        <rFont val="Segoe UI"/>
        <charset val="134"/>
      </rPr>
      <t> </t>
    </r>
  </si>
  <si>
    <t>消费级AI应用</t>
  </si>
  <si>
    <r>
      <rPr>
        <sz val="11"/>
        <color theme="1"/>
        <rFont val="宋体"/>
        <charset val="134"/>
        <scheme val="minor"/>
      </rPr>
      <t>AI搜索引擎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</si>
  <si>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AI综合助手</t>
    </r>
    <r>
      <rPr>
        <sz val="12"/>
        <color rgb="FF0F1115"/>
        <rFont val="Segoe UI"/>
        <charset val="134"/>
      </rPr>
      <t>（如DeepSeek、腾讯元宝）</t>
    </r>
  </si>
  <si>
    <r>
      <rPr>
        <sz val="11"/>
        <color theme="1"/>
        <rFont val="宋体"/>
        <charset val="134"/>
        <scheme val="minor"/>
      </rPr>
      <t>AI创作</t>
    </r>
    <r>
      <rPr>
        <sz val="12"/>
        <color rgb="FF0F1115"/>
        <rFont val="Segoe UI"/>
        <charset val="134"/>
      </rPr>
      <t> </t>
    </r>
  </si>
  <si>
    <t>AI生活娱乐</t>
  </si>
  <si>
    <t>AI原生社交与陪伴</t>
  </si>
  <si>
    <t>垂直行业AI应用</t>
  </si>
  <si>
    <r>
      <rPr>
        <sz val="11"/>
        <color theme="1"/>
        <rFont val="宋体"/>
        <charset val="134"/>
        <scheme val="minor"/>
      </rPr>
      <t>AI+工业制造</t>
    </r>
    <r>
      <rPr>
        <sz val="12"/>
        <color rgb="FF0F1115"/>
        <rFont val="Segoe UI"/>
        <charset val="134"/>
      </rPr>
      <t>（研发设计、生产调度等全环节）</t>
    </r>
  </si>
  <si>
    <r>
      <rPr>
        <sz val="11"/>
        <color theme="1"/>
        <rFont val="宋体"/>
        <charset val="134"/>
        <scheme val="minor"/>
      </rPr>
      <t>AI+医疗健康</t>
    </r>
    <r>
      <rPr>
        <sz val="12"/>
        <color rgb="FF0F1115"/>
        <rFont val="Segoe UI"/>
        <charset val="134"/>
      </rPr>
      <t>（病理诊断等）</t>
    </r>
  </si>
  <si>
    <r>
      <rPr>
        <sz val="11"/>
        <color theme="1"/>
        <rFont val="宋体"/>
        <charset val="134"/>
        <scheme val="minor"/>
      </rPr>
      <t>AI+金融</t>
    </r>
    <r>
      <rPr>
        <sz val="12"/>
        <color rgb="FF0F1115"/>
        <rFont val="Segoe UI"/>
        <charset val="134"/>
      </rPr>
      <t>（金融风控等）</t>
    </r>
  </si>
  <si>
    <r>
      <rPr>
        <sz val="11"/>
        <color theme="1"/>
        <rFont val="宋体"/>
        <charset val="134"/>
        <scheme val="minor"/>
      </rPr>
      <t>AI+教育</t>
    </r>
    <r>
      <rPr>
        <sz val="12"/>
        <color rgb="FF0F1115"/>
        <rFont val="Segoe UI"/>
        <charset val="134"/>
      </rPr>
      <t> </t>
    </r>
  </si>
  <si>
    <t>AI+科学研究</t>
  </si>
  <si>
    <t>数字营销/电子政务/在线教育/智慧医疗/游戏</t>
  </si>
  <si>
    <t>📊 量价关系分析模块需求文档（PRD）</t>
  </si>
  <si>
    <t>一、模块名称</t>
  </si>
  <si>
    <t>量价关系分析系统（Volume-Price Analysis Engine）</t>
  </si>
  <si>
    <t>二、背景与目标</t>
  </si>
  <si>
    <t>1. 背景</t>
  </si>
  <si>
    <t>A股市场中：</t>
  </si>
  <si>
    <t>价格容易被短期资金推动</t>
  </si>
  <si>
    <t>单纯看涨跌无法识别“真假趋势”</t>
  </si>
  <si>
    <t>但成交量可以反映资金真实行为</t>
  </si>
  <si>
    <t>因此需要构建一个系统：</t>
  </si>
  <si>
    <t>用“量价关系 + 时间结构 + 行业维度”判断资金行为与趋势强度</t>
  </si>
  <si>
    <t>2. 核心目标</t>
  </si>
  <si>
    <t>构建一个可以回答以下问题的系统：</t>
  </si>
  <si>
    <t>当前行业/股票是启动、加速还是派发？</t>
  </si>
  <si>
    <t>是否存在主力持续流入？</t>
  </si>
  <si>
    <t>当前上涨是否“有量支撑”？</t>
  </si>
  <si>
    <t>是否进入主升浪 or 反弹结束？</t>
  </si>
  <si>
    <t>哪些行业正在成为主线？</t>
  </si>
  <si>
    <t>三、适用范围</t>
  </si>
  <si>
    <t>数据对象</t>
  </si>
  <si>
    <t>股票（个股）</t>
  </si>
  <si>
    <t>行业（申万/同花顺）</t>
  </si>
  <si>
    <t>概念板块</t>
  </si>
  <si>
    <t>四、核心指标体系</t>
  </si>
  <si>
    <t>4.1 基础量价指标</t>
  </si>
  <si>
    <t>Close</t>
  </si>
  <si>
    <t>Volume</t>
  </si>
  <si>
    <t>Turnover</t>
  </si>
  <si>
    <t>Turnover Rate</t>
  </si>
  <si>
    <t>Return</t>
  </si>
  <si>
    <t>4.2 核心量价关系指标</t>
  </si>
  <si>
    <t>（1）量比（核心）</t>
  </si>
  <si>
    <t>量比 = 当日成交量 / 过去20日平均成交量</t>
  </si>
  <si>
    <t>分级：</t>
  </si>
  <si>
    <t>区间</t>
  </si>
  <si>
    <t>含义</t>
  </si>
  <si>
    <t>&lt;0.8</t>
  </si>
  <si>
    <t>缩量</t>
  </si>
  <si>
    <t>0.8-1.2</t>
  </si>
  <si>
    <t>正常</t>
  </si>
  <si>
    <t>1.2-2</t>
  </si>
  <si>
    <t>放量</t>
  </si>
  <si>
    <t>强放量</t>
  </si>
  <si>
    <t>&gt;3</t>
  </si>
  <si>
    <t>异常放量</t>
  </si>
  <si>
    <t>（2）量价配合强度</t>
  </si>
  <si>
    <t>Volume-Price Score = f(价格涨跌 + 成交量变化)</t>
  </si>
  <si>
    <t>分类：</t>
  </si>
  <si>
    <t>价格</t>
  </si>
  <si>
    <t>解释</t>
  </si>
  <si>
    <t>↑</t>
  </si>
  <si>
    <t>趋势确认（最强）</t>
  </si>
  <si>
    <t>↓</t>
  </si>
  <si>
    <t>逼空或衰竭</t>
  </si>
  <si>
    <t>出货信号</t>
  </si>
  <si>
    <t>低迷/筑底</t>
  </si>
  <si>
    <t>（3）20日趋势强度（核心周期）</t>
  </si>
  <si>
    <t>20日量均线比 = 今日成交量 / MA20(Volume)</t>
  </si>
  <si>
    <t>20日价趋势 = MA20(Price slope)</t>
  </si>
  <si>
    <t>（4）连续放量天数</t>
  </si>
  <si>
    <t>连续 N 天：Volume &gt; MA20</t>
  </si>
  <si>
    <t>含义：</t>
  </si>
  <si>
    <t>天数</t>
  </si>
  <si>
    <t>异动</t>
  </si>
  <si>
    <t>初期趋势</t>
  </si>
  <si>
    <t>主升确认</t>
  </si>
  <si>
    <t>&gt;10</t>
  </si>
  <si>
    <t>强趋势主线</t>
  </si>
  <si>
    <t>（5）突破量价信号</t>
  </si>
  <si>
    <t>定义：</t>
  </si>
  <si>
    <t>价格突破60日新高 + 成交量 &gt; MA20 * 1.5</t>
  </si>
  <si>
    <t>五、行业级量价分析（重点）</t>
  </si>
  <si>
    <t>5.1 行业聚合指标</t>
  </si>
  <si>
    <t>对行业内所有股票加权：</t>
  </si>
  <si>
    <t>行业成交额</t>
  </si>
  <si>
    <t>sum(volume * price)</t>
  </si>
  <si>
    <t>行业涨跌幅</t>
  </si>
  <si>
    <t>加权平均</t>
  </si>
  <si>
    <t>行业量比</t>
  </si>
  <si>
    <t>总成交额 / 20日均值</t>
  </si>
  <si>
    <t>上涨股票数 / 总数</t>
  </si>
  <si>
    <t>放量比例</t>
  </si>
  <si>
    <t>放量股票数 / 总数</t>
  </si>
  <si>
    <t>5.2 行业资金强度评分（核心输出）</t>
  </si>
  <si>
    <t>Industry Volume-Price Score (0-100)</t>
  </si>
  <si>
    <t>组成：</t>
  </si>
  <si>
    <t>权重</t>
  </si>
  <si>
    <t>成交量变化</t>
  </si>
  <si>
    <t>价格趋势</t>
  </si>
  <si>
    <t>连续放量</t>
  </si>
  <si>
    <t>突破信号</t>
  </si>
  <si>
    <t>5.3 行业状态分类</t>
  </si>
  <si>
    <t>分数</t>
  </si>
  <si>
    <t>状态</t>
  </si>
  <si>
    <t>80-100</t>
  </si>
  <si>
    <t>主线爆发</t>
  </si>
  <si>
    <t>60-80</t>
  </si>
  <si>
    <t>趋势上升</t>
  </si>
  <si>
    <t>40-60</t>
  </si>
  <si>
    <t>震荡</t>
  </si>
  <si>
    <t>20-40</t>
  </si>
  <si>
    <t>弱势</t>
  </si>
  <si>
    <t>&lt;20</t>
  </si>
  <si>
    <t>退潮</t>
  </si>
  <si>
    <t>六、时间周期设计（必须）</t>
  </si>
  <si>
    <t>系统必须支持多周期：</t>
  </si>
  <si>
    <t>周期</t>
  </si>
  <si>
    <t>3日</t>
  </si>
  <si>
    <t>捕捉启动</t>
  </si>
  <si>
    <t>5日</t>
  </si>
  <si>
    <t>短线趋势</t>
  </si>
  <si>
    <t>10日</t>
  </si>
  <si>
    <t>短中趋势</t>
  </si>
  <si>
    <t>20日</t>
  </si>
  <si>
    <t>主力趋势（核心）</t>
  </si>
  <si>
    <t>60日</t>
  </si>
  <si>
    <t>中期趋势</t>
  </si>
  <si>
    <t>120日</t>
  </si>
  <si>
    <t>大趋势</t>
  </si>
  <si>
    <t>👉 默认推荐分析周期：20日</t>
  </si>
  <si>
    <t>七、数据结构设计（MySQL）</t>
  </si>
  <si>
    <t>7.1 股票量价表</t>
  </si>
  <si>
    <t>stock_price_volume_di</t>
  </si>
  <si>
    <t>7.2 行业聚合表</t>
  </si>
  <si>
    <t>industry_volume_di</t>
  </si>
  <si>
    <t>7.3 量价评分表</t>
  </si>
  <si>
    <t>industry_vp_score_di</t>
  </si>
  <si>
    <t>八、核心算法逻辑</t>
  </si>
  <si>
    <t>Step 1：基础指标计算</t>
  </si>
  <si>
    <t>MA5 / MA10 / MA20 / MA60</t>
  </si>
  <si>
    <t>Volume ratio</t>
  </si>
  <si>
    <t>Price momentum</t>
  </si>
  <si>
    <t>Step 2：量价关系判断</t>
  </si>
  <si>
    <t>if price_up and volume_up:</t>
  </si>
  <si>
    <t xml:space="preserve">    signal = "trend_confirm"</t>
  </si>
  <si>
    <t>elif price_up and volume_down:</t>
  </si>
  <si>
    <t xml:space="preserve">    signal = "weak_rise"</t>
  </si>
  <si>
    <t>elif price_down and volume_up:</t>
  </si>
  <si>
    <t xml:space="preserve">    signal = "distribution"</t>
  </si>
  <si>
    <t>Step 3：行业聚合</t>
  </si>
  <si>
    <t>行业指标 = Σ(个股指标 * 权重)</t>
  </si>
  <si>
    <t>权重：</t>
  </si>
  <si>
    <t>市值权重（推荐）</t>
  </si>
  <si>
    <t>或等权</t>
  </si>
  <si>
    <t>Step 4：生成评分</t>
  </si>
  <si>
    <t>score = 30% volume + 25% trend + 15% continuity + 15% breadth + 15% breakout</t>
  </si>
  <si>
    <t>九、输出能力（产品层）</t>
  </si>
  <si>
    <t>1. 行业排行榜</t>
  </si>
  <si>
    <t>今日最强行业（量价评分）</t>
  </si>
  <si>
    <t>资金流入Top10行业</t>
  </si>
  <si>
    <t>连续放量行业</t>
  </si>
  <si>
    <t>2. 行业趋势卡片</t>
  </si>
  <si>
    <t>展示：</t>
  </si>
  <si>
    <t>20日量比</t>
  </si>
  <si>
    <t>连续放量天数</t>
  </si>
  <si>
    <t>上涨家数比例</t>
  </si>
  <si>
    <t>3. 信号系统</t>
  </si>
  <si>
    <t>主升浪信号</t>
  </si>
  <si>
    <t>启动信号</t>
  </si>
  <si>
    <t>派发信号</t>
  </si>
  <si>
    <t>退潮信号</t>
  </si>
  <si>
    <t>4. 个股辅助</t>
  </si>
  <si>
    <t>是否跟随行业</t>
  </si>
  <si>
    <t>是否补涨</t>
  </si>
  <si>
    <t>十、核心价值（为什么这个模块重要）</t>
  </si>
  <si>
    <t>这个模块解决的是：</t>
  </si>
  <si>
    <t>从“看股票” → “看资金行为” → “看行业主线”</t>
  </si>
  <si>
    <t>最终能回答：</t>
  </si>
  <si>
    <t>AI是主线吗？</t>
  </si>
  <si>
    <t>CPO是不是退潮？</t>
  </si>
  <si>
    <t>半导体是不是新一轮启动？</t>
  </si>
  <si>
    <t>哪些板块是资金在持续买？</t>
  </si>
  <si>
    <t>十一、升级建议（非常重要）</t>
  </si>
  <si>
    <t>如果你要做成产品竞争力强的版本，建议加三层：</t>
  </si>
  <si>
    <t>① 资金层（北向 / ETF / 龙虎榜）</t>
  </si>
  <si>
    <t>② 情绪层（涨停数 / 连板数）</t>
  </si>
  <si>
    <t>③ 产业层（订单 / CapEx / 景气度）</t>
  </si>
  <si>
    <t>十二、总结一句话</t>
  </si>
  <si>
    <t>这个系统本质不是“量价分析工具”，而是：</t>
  </si>
  <si>
    <t>用量价关系识别“主力在买哪个行业”</t>
  </si>
  <si>
    <t>如果你下一步想做，我可以帮你继续细化：</t>
  </si>
  <si>
    <t>✔ 技术架构（FastAPI + MySQL +调度）</t>
  </si>
  <si>
    <t>✔ 行业评分SQL实现</t>
  </si>
  <si>
    <t>✔ Python量价计算代码</t>
  </si>
  <si>
    <t>✔ 小程序UI设计</t>
  </si>
  <si>
    <t>✔ 或直接帮你做MVP版本设计</t>
  </si>
  <si>
    <t>只要你说要做到哪一层就行。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</si>
</sst>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rgb="FF060A26"/>
      <name val="Segoe UI"/>
      <charset val="134"/>
    </font>
    <font>
      <b/>
      <sz val="14.05"/>
      <color rgb="FF060A26"/>
      <name val="Segoe UI"/>
      <charset val="134"/>
    </font>
    <font>
      <sz val="10.5"/>
      <color rgb="FF222325"/>
      <name val="Segoe UI"/>
      <charset val="134"/>
    </font>
    <font>
      <sz val="12"/>
      <color rgb="FF060A26"/>
      <name val="Segoe UI"/>
      <charset val="134"/>
    </font>
    <font>
      <b/>
      <sz val="12"/>
      <color rgb="FF060A26"/>
      <name val="Segoe UI"/>
      <charset val="134"/>
    </font>
    <font>
      <b/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F1115"/>
      <name val="Segoe UI"/>
      <charset val="134"/>
    </font>
    <font>
      <b/>
      <sz val="12"/>
      <color rgb="FF060A26"/>
      <name val="宋体"/>
      <charset val="134"/>
    </font>
    <font>
      <b/>
      <sz val="10.5"/>
      <color rgb="FF060A26"/>
      <name val="Consolas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50">
    <xf numFmtId="0" fontId="0" fillId="0" borderId="0" xfId="0"/>
    <xf numFmtId="58" fontId="0" fillId="0" borderId="0" xfId="0" applyNumberFormat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" fillId="2" borderId="1" xfId="0" applyFont="1" applyFill="1" applyBorder="1"/>
    <xf numFmtId="0" fontId="0" fillId="2" borderId="1" xfId="0" applyFill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5" fillId="0" borderId="1" xfId="0" applyFont="1" applyBorder="1"/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0" fillId="2" borderId="0" xfId="0" applyFill="1"/>
    <xf numFmtId="0" fontId="0" fillId="3" borderId="0" xfId="0" applyFill="1"/>
    <xf numFmtId="0" fontId="4" fillId="0" borderId="1" xfId="0" applyFont="1" applyBorder="1" applyAlignment="1">
      <alignment horizontal="left"/>
    </xf>
    <xf numFmtId="9" fontId="0" fillId="0" borderId="1" xfId="0" applyNumberFormat="1" applyBorder="1" applyAlignment="1">
      <alignment wrapText="1"/>
    </xf>
    <xf numFmtId="0" fontId="7" fillId="0" borderId="0" xfId="0" applyFont="1"/>
    <xf numFmtId="0" fontId="6" fillId="0" borderId="0" xfId="0" applyFont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9" fontId="0" fillId="0" borderId="1" xfId="0" applyNumberFormat="1" applyBorder="1" applyAlignment="1">
      <alignment horizontal="left" wrapText="1"/>
    </xf>
    <xf numFmtId="0" fontId="1" fillId="4" borderId="0" xfId="0" applyFont="1" applyFill="1"/>
    <xf numFmtId="0" fontId="8" fillId="4" borderId="0" xfId="0" applyFont="1" applyFill="1"/>
    <xf numFmtId="0" fontId="7" fillId="0" borderId="1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pane ySplit="1" topLeftCell="A2" activePane="bottomLeft" state="frozen"/>
      <selection/>
      <selection pane="bottomLeft" activeCell="D15" sqref="D15"/>
    </sheetView>
  </sheetViews>
  <sheetFormatPr defaultColWidth="9" defaultRowHeight="14.4" outlineLevelCol="5"/>
  <cols>
    <col min="1" max="1" width="22" customWidth="1"/>
    <col min="2" max="2" width="37.6666666666667" customWidth="1"/>
    <col min="3" max="3" width="41.1111111111111" customWidth="1"/>
    <col min="4" max="4" width="25.4444444444444" customWidth="1"/>
    <col min="5" max="6" width="23.1111111111111" customWidth="1"/>
    <col min="8" max="8" width="14.1111111111111" customWidth="1"/>
    <col min="9" max="9" width="11.8888888888889" customWidth="1"/>
  </cols>
  <sheetData>
    <row r="1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</row>
    <row r="4" spans="1:6">
      <c r="A4" s="3" t="s">
        <v>18</v>
      </c>
      <c r="B4" s="3" t="s">
        <v>7</v>
      </c>
      <c r="C4" s="3" t="s">
        <v>19</v>
      </c>
      <c r="D4" s="3" t="s">
        <v>20</v>
      </c>
      <c r="E4" s="3" t="s">
        <v>21</v>
      </c>
      <c r="F4" s="3" t="s">
        <v>22</v>
      </c>
    </row>
    <row r="5" spans="1:6">
      <c r="A5" s="3" t="s">
        <v>23</v>
      </c>
      <c r="B5" s="3" t="s">
        <v>13</v>
      </c>
      <c r="C5" s="3" t="s">
        <v>24</v>
      </c>
      <c r="D5" s="3" t="s">
        <v>25</v>
      </c>
      <c r="E5" s="3" t="s">
        <v>26</v>
      </c>
      <c r="F5" s="3" t="s">
        <v>27</v>
      </c>
    </row>
    <row r="6" ht="72" spans="1:6">
      <c r="A6" s="3" t="s">
        <v>28</v>
      </c>
      <c r="B6" s="3" t="s">
        <v>29</v>
      </c>
      <c r="C6" s="16" t="s">
        <v>30</v>
      </c>
      <c r="D6" s="3" t="s">
        <v>31</v>
      </c>
      <c r="E6" s="3" t="s">
        <v>32</v>
      </c>
      <c r="F6" s="3" t="s">
        <v>33</v>
      </c>
    </row>
    <row r="7" spans="1:6">
      <c r="A7" s="3" t="s">
        <v>34</v>
      </c>
      <c r="B7" s="3" t="s">
        <v>29</v>
      </c>
      <c r="C7" s="3" t="s">
        <v>35</v>
      </c>
      <c r="D7" s="3" t="s">
        <v>36</v>
      </c>
      <c r="E7" s="3" t="s">
        <v>26</v>
      </c>
      <c r="F7" s="3" t="s">
        <v>37</v>
      </c>
    </row>
    <row r="8" spans="1:6">
      <c r="A8" s="3" t="s">
        <v>38</v>
      </c>
      <c r="B8" s="3" t="s">
        <v>39</v>
      </c>
      <c r="C8" s="3" t="s">
        <v>40</v>
      </c>
      <c r="D8" s="3" t="s">
        <v>41</v>
      </c>
      <c r="E8" s="3" t="s">
        <v>16</v>
      </c>
      <c r="F8" s="3" t="s">
        <v>42</v>
      </c>
    </row>
    <row r="9" spans="1:6">
      <c r="A9" s="3" t="s">
        <v>43</v>
      </c>
      <c r="B9" s="3" t="s">
        <v>44</v>
      </c>
      <c r="C9" s="3" t="s">
        <v>45</v>
      </c>
      <c r="D9" s="3" t="s">
        <v>46</v>
      </c>
      <c r="E9" s="3" t="s">
        <v>32</v>
      </c>
      <c r="F9" s="3" t="s">
        <v>47</v>
      </c>
    </row>
    <row r="10" spans="1:6">
      <c r="A10" s="3" t="s">
        <v>48</v>
      </c>
      <c r="B10" s="3" t="s">
        <v>48</v>
      </c>
      <c r="C10" s="3" t="s">
        <v>49</v>
      </c>
      <c r="D10" s="3" t="s">
        <v>50</v>
      </c>
      <c r="E10" s="3" t="s">
        <v>32</v>
      </c>
      <c r="F10" s="3" t="s">
        <v>51</v>
      </c>
    </row>
    <row r="11" spans="1:6">
      <c r="A11" s="3" t="s">
        <v>52</v>
      </c>
      <c r="B11" s="3" t="s">
        <v>53</v>
      </c>
      <c r="C11" s="3" t="s">
        <v>54</v>
      </c>
      <c r="D11" s="3" t="s">
        <v>55</v>
      </c>
      <c r="E11" s="3" t="s">
        <v>32</v>
      </c>
      <c r="F11" s="3" t="s">
        <v>51</v>
      </c>
    </row>
    <row r="12" spans="1:6">
      <c r="A12" s="3" t="s">
        <v>56</v>
      </c>
      <c r="B12" s="3" t="s">
        <v>57</v>
      </c>
      <c r="C12" s="3" t="s">
        <v>58</v>
      </c>
      <c r="D12" s="3" t="s">
        <v>59</v>
      </c>
      <c r="E12" s="3" t="s">
        <v>60</v>
      </c>
      <c r="F12" s="3" t="s">
        <v>61</v>
      </c>
    </row>
    <row r="13" spans="1:6">
      <c r="A13" s="3" t="s">
        <v>56</v>
      </c>
      <c r="B13" s="3" t="s">
        <v>62</v>
      </c>
      <c r="C13" s="3" t="s">
        <v>63</v>
      </c>
      <c r="D13" s="3" t="s">
        <v>64</v>
      </c>
      <c r="E13" s="3" t="s">
        <v>65</v>
      </c>
      <c r="F13" s="3" t="s">
        <v>66</v>
      </c>
    </row>
    <row r="15" ht="100.8" spans="1:6">
      <c r="A15" s="42" t="s">
        <v>67</v>
      </c>
      <c r="B15" s="42" t="s">
        <v>68</v>
      </c>
      <c r="C15" s="42" t="s">
        <v>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ySplit="1" topLeftCell="A27" activePane="bottomLeft" state="frozen"/>
      <selection/>
      <selection pane="bottomLeft" activeCell="F3" sqref="F3"/>
    </sheetView>
  </sheetViews>
  <sheetFormatPr defaultColWidth="8.88888888888889" defaultRowHeight="14.4" outlineLevelCol="6"/>
  <cols>
    <col min="1" max="1" width="10.4444444444444" customWidth="1"/>
    <col min="2" max="2" width="15.1111111111111" customWidth="1"/>
    <col min="3" max="3" width="16.4444444444444" customWidth="1"/>
    <col min="4" max="4" width="18.7777777777778" customWidth="1"/>
    <col min="5" max="5" width="75.2222222222222" customWidth="1"/>
    <col min="6" max="6" width="40.3333333333333" customWidth="1"/>
  </cols>
  <sheetData>
    <row r="1" spans="1:7">
      <c r="A1" s="46" t="s">
        <v>1</v>
      </c>
      <c r="B1" s="46" t="s">
        <v>70</v>
      </c>
      <c r="C1" s="46" t="s">
        <v>0</v>
      </c>
      <c r="D1" s="46" t="s">
        <v>71</v>
      </c>
      <c r="E1" s="46" t="s">
        <v>72</v>
      </c>
      <c r="F1" s="46" t="s">
        <v>73</v>
      </c>
      <c r="G1" s="10"/>
    </row>
    <row r="2" ht="115.2" spans="1:7">
      <c r="A2" s="47" t="s">
        <v>74</v>
      </c>
      <c r="B2" s="47" t="s">
        <v>75</v>
      </c>
      <c r="C2" s="48" t="s">
        <v>76</v>
      </c>
      <c r="D2" s="47" t="s">
        <v>77</v>
      </c>
      <c r="E2" s="47"/>
      <c r="F2" s="47" t="s">
        <v>78</v>
      </c>
      <c r="G2" s="10" t="s">
        <v>79</v>
      </c>
    </row>
    <row r="3" ht="273.6" spans="1:7">
      <c r="A3" s="47"/>
      <c r="B3" s="47"/>
      <c r="C3" s="48"/>
      <c r="D3" s="47" t="s">
        <v>80</v>
      </c>
      <c r="E3" s="47" t="s">
        <v>81</v>
      </c>
      <c r="F3" s="47" t="s">
        <v>82</v>
      </c>
      <c r="G3" s="10" t="s">
        <v>83</v>
      </c>
    </row>
    <row r="4" spans="1:7">
      <c r="A4" s="47"/>
      <c r="B4" s="47"/>
      <c r="C4" s="48"/>
      <c r="D4" s="47" t="s">
        <v>84</v>
      </c>
      <c r="E4" s="47"/>
      <c r="F4" s="47" t="s">
        <v>85</v>
      </c>
      <c r="G4" s="10" t="s">
        <v>83</v>
      </c>
    </row>
    <row r="5" spans="1:7">
      <c r="A5" s="47"/>
      <c r="B5" s="47"/>
      <c r="C5" s="48"/>
      <c r="D5" s="47" t="s">
        <v>86</v>
      </c>
      <c r="E5" s="47"/>
      <c r="F5" s="47"/>
      <c r="G5" s="10"/>
    </row>
    <row r="6" spans="1:7">
      <c r="A6" s="47"/>
      <c r="B6" s="47"/>
      <c r="C6" s="48"/>
      <c r="D6" s="47" t="s">
        <v>87</v>
      </c>
      <c r="E6" s="47"/>
      <c r="F6" s="47"/>
      <c r="G6" s="10"/>
    </row>
    <row r="7" ht="72" spans="1:7">
      <c r="A7" s="47"/>
      <c r="B7" s="47"/>
      <c r="C7" s="48"/>
      <c r="D7" s="47" t="s">
        <v>88</v>
      </c>
      <c r="E7" s="47" t="s">
        <v>89</v>
      </c>
      <c r="F7" s="47"/>
      <c r="G7" s="10"/>
    </row>
    <row r="8" spans="1:7">
      <c r="A8" s="47"/>
      <c r="B8" s="47" t="s">
        <v>90</v>
      </c>
      <c r="C8" s="47" t="s">
        <v>91</v>
      </c>
      <c r="D8" s="47" t="s">
        <v>92</v>
      </c>
      <c r="E8" s="47"/>
      <c r="F8" s="47"/>
      <c r="G8" s="10"/>
    </row>
    <row r="9" spans="1:7">
      <c r="A9" s="47"/>
      <c r="B9" s="47"/>
      <c r="C9" s="47"/>
      <c r="D9" s="47" t="s">
        <v>93</v>
      </c>
      <c r="E9" s="47"/>
      <c r="F9" s="47"/>
      <c r="G9" s="10"/>
    </row>
    <row r="10" spans="1:7">
      <c r="A10" s="47"/>
      <c r="B10" s="47"/>
      <c r="C10" s="47"/>
      <c r="D10" s="47" t="s">
        <v>94</v>
      </c>
      <c r="E10" s="47"/>
      <c r="F10" s="47"/>
      <c r="G10" s="10"/>
    </row>
    <row r="11" ht="57.6" spans="1:7">
      <c r="A11" s="47"/>
      <c r="B11" s="47"/>
      <c r="C11" s="47"/>
      <c r="D11" s="47" t="s">
        <v>95</v>
      </c>
      <c r="E11" s="47" t="s">
        <v>96</v>
      </c>
      <c r="F11" s="47"/>
      <c r="G11" s="10"/>
    </row>
    <row r="12" spans="1:7">
      <c r="A12" s="47"/>
      <c r="B12" s="47" t="s">
        <v>97</v>
      </c>
      <c r="C12" s="47" t="s">
        <v>98</v>
      </c>
      <c r="D12" s="47" t="s">
        <v>99</v>
      </c>
      <c r="E12" s="47"/>
      <c r="F12" s="47"/>
      <c r="G12" s="10"/>
    </row>
    <row r="13" spans="1:7">
      <c r="A13" s="47"/>
      <c r="B13" s="47"/>
      <c r="C13" s="47"/>
      <c r="D13" s="47" t="s">
        <v>100</v>
      </c>
      <c r="E13" s="47"/>
      <c r="F13" s="47"/>
      <c r="G13" s="10"/>
    </row>
    <row r="14" ht="43.2" spans="1:7">
      <c r="A14" s="47"/>
      <c r="B14" s="47"/>
      <c r="C14" s="47"/>
      <c r="D14" s="47" t="s">
        <v>101</v>
      </c>
      <c r="E14" s="47" t="s">
        <v>102</v>
      </c>
      <c r="F14" s="47"/>
      <c r="G14" s="10"/>
    </row>
    <row r="15" ht="57.6" spans="1:7">
      <c r="A15" s="47"/>
      <c r="B15" s="47" t="s">
        <v>103</v>
      </c>
      <c r="C15" s="47"/>
      <c r="D15" s="49" t="s">
        <v>104</v>
      </c>
      <c r="E15" s="47" t="s">
        <v>105</v>
      </c>
      <c r="F15" s="47"/>
      <c r="G15" s="10"/>
    </row>
    <row r="16" spans="1:7">
      <c r="A16" s="47" t="s">
        <v>106</v>
      </c>
      <c r="B16" s="47" t="s">
        <v>107</v>
      </c>
      <c r="C16" s="47" t="s">
        <v>108</v>
      </c>
      <c r="D16" s="47" t="s">
        <v>109</v>
      </c>
      <c r="E16" s="47" t="s">
        <v>110</v>
      </c>
      <c r="F16" s="47"/>
      <c r="G16" s="10"/>
    </row>
    <row r="17" spans="1:7">
      <c r="A17" s="47"/>
      <c r="B17" s="47"/>
      <c r="C17" s="47"/>
      <c r="D17" s="47" t="s">
        <v>111</v>
      </c>
      <c r="E17" s="47" t="s">
        <v>112</v>
      </c>
      <c r="F17" s="47"/>
      <c r="G17" s="10"/>
    </row>
    <row r="18" spans="1:7">
      <c r="A18" s="47"/>
      <c r="B18" s="47" t="s">
        <v>113</v>
      </c>
      <c r="C18" s="47" t="s">
        <v>114</v>
      </c>
      <c r="D18" s="49" t="s">
        <v>115</v>
      </c>
      <c r="E18" s="49"/>
      <c r="F18" s="47"/>
      <c r="G18" s="10"/>
    </row>
    <row r="19" spans="1:7">
      <c r="A19" s="47"/>
      <c r="B19" s="47"/>
      <c r="C19" s="47"/>
      <c r="D19" s="47" t="s">
        <v>116</v>
      </c>
      <c r="E19" s="47"/>
      <c r="F19" s="47"/>
      <c r="G19" s="10"/>
    </row>
    <row r="20" spans="1:7">
      <c r="A20" s="47"/>
      <c r="B20" s="47" t="s">
        <v>117</v>
      </c>
      <c r="C20" s="47" t="s">
        <v>118</v>
      </c>
      <c r="D20" s="47" t="s">
        <v>119</v>
      </c>
      <c r="E20" s="47" t="s">
        <v>120</v>
      </c>
      <c r="F20" s="47"/>
      <c r="G20" s="10"/>
    </row>
    <row r="21" spans="1:7">
      <c r="A21" s="47"/>
      <c r="B21" s="47"/>
      <c r="C21" s="47"/>
      <c r="D21" s="47" t="s">
        <v>121</v>
      </c>
      <c r="E21" s="47" t="s">
        <v>122</v>
      </c>
      <c r="F21" s="47"/>
      <c r="G21" s="10"/>
    </row>
    <row r="22" ht="72" spans="1:7">
      <c r="A22" s="47"/>
      <c r="B22" s="47" t="s">
        <v>123</v>
      </c>
      <c r="C22" s="47" t="s">
        <v>124</v>
      </c>
      <c r="D22" s="47"/>
      <c r="E22" s="47" t="s">
        <v>125</v>
      </c>
      <c r="F22" s="47"/>
      <c r="G22" s="10"/>
    </row>
    <row r="23" spans="1:7">
      <c r="A23" s="47" t="s">
        <v>126</v>
      </c>
      <c r="B23" s="47" t="s">
        <v>127</v>
      </c>
      <c r="C23" s="47" t="s">
        <v>128</v>
      </c>
      <c r="D23" s="47" t="s">
        <v>129</v>
      </c>
      <c r="E23" s="47"/>
      <c r="F23" s="47"/>
      <c r="G23" s="10"/>
    </row>
    <row r="24" spans="1:7">
      <c r="A24" s="47"/>
      <c r="B24" s="47"/>
      <c r="C24" s="47" t="s">
        <v>130</v>
      </c>
      <c r="D24" s="47" t="s">
        <v>131</v>
      </c>
      <c r="E24" s="47"/>
      <c r="F24" s="47"/>
      <c r="G24" s="10"/>
    </row>
    <row r="25" ht="43.2" spans="1:7">
      <c r="A25" s="47"/>
      <c r="B25" s="47"/>
      <c r="C25" s="48" t="s">
        <v>132</v>
      </c>
      <c r="D25" s="47"/>
      <c r="E25" s="47" t="s">
        <v>133</v>
      </c>
      <c r="F25" s="48"/>
      <c r="G25" s="10"/>
    </row>
    <row r="26" spans="1:7">
      <c r="A26" s="47"/>
      <c r="B26" s="47" t="s">
        <v>134</v>
      </c>
      <c r="C26" s="47" t="s">
        <v>135</v>
      </c>
      <c r="D26" s="47"/>
      <c r="E26" s="47"/>
      <c r="F26" s="47"/>
      <c r="G26" s="10"/>
    </row>
    <row r="27" spans="1:7">
      <c r="A27" s="47"/>
      <c r="B27" s="47"/>
      <c r="C27" s="47" t="s">
        <v>136</v>
      </c>
      <c r="D27" s="47"/>
      <c r="E27" s="47"/>
      <c r="F27" s="47"/>
      <c r="G27" s="10"/>
    </row>
    <row r="28" ht="43.2" spans="1:7">
      <c r="A28" s="47"/>
      <c r="B28" s="47"/>
      <c r="C28" s="48" t="s">
        <v>137</v>
      </c>
      <c r="D28" s="47"/>
      <c r="E28" s="47" t="s">
        <v>138</v>
      </c>
      <c r="F28" s="47"/>
      <c r="G28" s="10"/>
    </row>
    <row r="29" spans="1:7">
      <c r="A29" s="47"/>
      <c r="B29" s="47" t="s">
        <v>139</v>
      </c>
      <c r="C29" s="48" t="s">
        <v>140</v>
      </c>
      <c r="D29" s="47" t="s">
        <v>141</v>
      </c>
      <c r="E29" s="47"/>
      <c r="F29" s="48"/>
      <c r="G29" s="10"/>
    </row>
    <row r="30" spans="1:7">
      <c r="A30" s="47"/>
      <c r="B30" s="47"/>
      <c r="C30" s="48" t="s">
        <v>142</v>
      </c>
      <c r="D30" s="47" t="s">
        <v>143</v>
      </c>
      <c r="E30" s="47"/>
      <c r="F30" s="48"/>
      <c r="G30" s="10"/>
    </row>
    <row r="31" ht="43.2" spans="1:7">
      <c r="A31" s="47"/>
      <c r="B31" s="47"/>
      <c r="C31" s="48" t="s">
        <v>144</v>
      </c>
      <c r="D31" s="49"/>
      <c r="E31" s="47" t="s">
        <v>145</v>
      </c>
      <c r="F31" s="48"/>
      <c r="G31" s="10"/>
    </row>
    <row r="32" ht="57.6" spans="1:7">
      <c r="A32" s="47"/>
      <c r="B32" s="48" t="s">
        <v>146</v>
      </c>
      <c r="C32" s="48" t="s">
        <v>147</v>
      </c>
      <c r="D32" s="49"/>
      <c r="E32" s="47" t="s">
        <v>148</v>
      </c>
      <c r="F32" s="48"/>
      <c r="G32" s="10"/>
    </row>
    <row r="33" ht="158.4" spans="1:7">
      <c r="A33" s="49" t="s">
        <v>149</v>
      </c>
      <c r="B33" s="31" t="s">
        <v>150</v>
      </c>
      <c r="C33" s="31" t="s">
        <v>151</v>
      </c>
      <c r="D33" s="31" t="s">
        <v>152</v>
      </c>
      <c r="E33" s="31"/>
      <c r="F33" s="49"/>
      <c r="G33" s="10"/>
    </row>
  </sheetData>
  <mergeCells count="18">
    <mergeCell ref="A2:A15"/>
    <mergeCell ref="A16:A22"/>
    <mergeCell ref="A23:A32"/>
    <mergeCell ref="B2:B7"/>
    <mergeCell ref="B8:B11"/>
    <mergeCell ref="B12:B14"/>
    <mergeCell ref="B16:B17"/>
    <mergeCell ref="B18:B19"/>
    <mergeCell ref="B20:B21"/>
    <mergeCell ref="B23:B25"/>
    <mergeCell ref="B26:B28"/>
    <mergeCell ref="B29:B31"/>
    <mergeCell ref="C2:C7"/>
    <mergeCell ref="C8:C11"/>
    <mergeCell ref="C12:C14"/>
    <mergeCell ref="C16:C17"/>
    <mergeCell ref="C18:C19"/>
    <mergeCell ref="C20:C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5"/>
  <sheetViews>
    <sheetView workbookViewId="0">
      <selection activeCell="B11" sqref="B11"/>
    </sheetView>
  </sheetViews>
  <sheetFormatPr defaultColWidth="8.88888888888889" defaultRowHeight="14.4"/>
  <cols>
    <col min="1" max="1" width="42.2222222222222" customWidth="1"/>
    <col min="2" max="2" width="32.7777777777778" customWidth="1"/>
    <col min="3" max="3" width="56.1111111111111" customWidth="1"/>
    <col min="4" max="4" width="29.7777777777778" customWidth="1"/>
  </cols>
  <sheetData>
    <row r="1" spans="1:4">
      <c r="A1" s="22" t="s">
        <v>153</v>
      </c>
    </row>
    <row r="2" ht="20.4" spans="1:4">
      <c r="A2" s="23" t="s">
        <v>154</v>
      </c>
      <c r="B2" s="3"/>
      <c r="C2" s="3"/>
      <c r="D2" s="3"/>
    </row>
    <row r="3" spans="1:4">
      <c r="A3" s="15" t="s">
        <v>155</v>
      </c>
      <c r="B3" s="15" t="s">
        <v>156</v>
      </c>
      <c r="C3" s="15" t="s">
        <v>157</v>
      </c>
      <c r="D3" s="15" t="s">
        <v>158</v>
      </c>
    </row>
    <row r="4" ht="28.8" spans="1:4">
      <c r="A4" s="16" t="s">
        <v>140</v>
      </c>
      <c r="B4" s="16" t="s">
        <v>159</v>
      </c>
      <c r="C4" s="24">
        <v>0.35</v>
      </c>
      <c r="D4" s="16" t="s">
        <v>160</v>
      </c>
    </row>
    <row r="5" ht="28.8" spans="1:4">
      <c r="A5" s="16" t="s">
        <v>161</v>
      </c>
      <c r="B5" s="16" t="s">
        <v>162</v>
      </c>
      <c r="C5" s="24">
        <v>0.25</v>
      </c>
      <c r="D5" s="16" t="s">
        <v>163</v>
      </c>
    </row>
    <row r="6" ht="28.8" spans="1:4">
      <c r="A6" s="16" t="s">
        <v>164</v>
      </c>
      <c r="B6" s="16" t="s">
        <v>165</v>
      </c>
      <c r="C6" s="24">
        <v>0.15</v>
      </c>
      <c r="D6" s="16" t="s">
        <v>166</v>
      </c>
    </row>
    <row r="7" spans="1:4">
      <c r="A7" s="16" t="s">
        <v>167</v>
      </c>
      <c r="B7" s="16" t="s">
        <v>168</v>
      </c>
      <c r="C7" s="24">
        <v>0.15</v>
      </c>
      <c r="D7" s="16" t="s">
        <v>169</v>
      </c>
    </row>
    <row r="8" spans="1:4">
      <c r="A8" s="16" t="s">
        <v>170</v>
      </c>
      <c r="B8" s="16" t="s">
        <v>171</v>
      </c>
      <c r="C8" s="24">
        <v>0.1</v>
      </c>
      <c r="D8" s="16" t="s">
        <v>172</v>
      </c>
    </row>
    <row r="10" ht="15.6" spans="1:4">
      <c r="A10" s="25" t="s">
        <v>173</v>
      </c>
    </row>
    <row r="11" ht="19.2" spans="1:4">
      <c r="A11" s="26" t="s">
        <v>174</v>
      </c>
    </row>
    <row r="13" spans="1:4">
      <c r="A13" s="27" t="s">
        <v>140</v>
      </c>
      <c r="B13" s="13" t="s">
        <v>175</v>
      </c>
      <c r="C13" s="13" t="s">
        <v>176</v>
      </c>
      <c r="D13" s="13" t="s">
        <v>177</v>
      </c>
    </row>
    <row r="14" spans="1:4">
      <c r="A14" s="28"/>
      <c r="B14" s="14" t="s">
        <v>178</v>
      </c>
      <c r="C14" s="14" t="s">
        <v>179</v>
      </c>
      <c r="D14" s="14" t="s">
        <v>180</v>
      </c>
    </row>
    <row r="15" spans="1:4">
      <c r="A15" s="28"/>
      <c r="B15" s="14" t="s">
        <v>181</v>
      </c>
      <c r="C15" s="14" t="s">
        <v>182</v>
      </c>
      <c r="D15" s="14" t="s">
        <v>183</v>
      </c>
    </row>
    <row r="16" spans="1:4">
      <c r="A16" s="29"/>
      <c r="B16" s="14" t="s">
        <v>184</v>
      </c>
      <c r="C16" s="14" t="s">
        <v>185</v>
      </c>
      <c r="D16" s="14" t="s">
        <v>186</v>
      </c>
    </row>
    <row r="18" spans="1:4">
      <c r="A18" s="27" t="s">
        <v>161</v>
      </c>
      <c r="B18" s="13" t="s">
        <v>175</v>
      </c>
      <c r="C18" s="13" t="s">
        <v>176</v>
      </c>
      <c r="D18" s="13" t="s">
        <v>177</v>
      </c>
    </row>
    <row r="19" spans="1:4">
      <c r="A19" s="28"/>
      <c r="B19" s="14" t="s">
        <v>187</v>
      </c>
      <c r="C19" s="14" t="s">
        <v>188</v>
      </c>
      <c r="D19" s="14" t="s">
        <v>189</v>
      </c>
    </row>
    <row r="20" spans="1:4">
      <c r="A20" s="28"/>
      <c r="B20" s="14" t="s">
        <v>190</v>
      </c>
      <c r="C20" s="14" t="s">
        <v>191</v>
      </c>
      <c r="D20" s="14" t="s">
        <v>192</v>
      </c>
    </row>
    <row r="21" spans="1:4">
      <c r="A21" s="29"/>
      <c r="B21" s="14" t="s">
        <v>193</v>
      </c>
      <c r="C21" s="14" t="s">
        <v>194</v>
      </c>
      <c r="D21" s="14" t="s">
        <v>195</v>
      </c>
    </row>
    <row r="24" spans="1:4">
      <c r="A24" s="27" t="s">
        <v>164</v>
      </c>
      <c r="B24" s="30" t="s">
        <v>175</v>
      </c>
      <c r="C24" s="30" t="s">
        <v>176</v>
      </c>
      <c r="D24" s="30" t="s">
        <v>177</v>
      </c>
    </row>
    <row r="25" spans="1:4">
      <c r="A25" s="28"/>
      <c r="B25" s="31" t="s">
        <v>196</v>
      </c>
      <c r="C25" s="31" t="s">
        <v>197</v>
      </c>
      <c r="D25" s="31" t="s">
        <v>198</v>
      </c>
    </row>
    <row r="26" spans="1:4">
      <c r="A26" s="28"/>
      <c r="B26" s="31" t="s">
        <v>199</v>
      </c>
      <c r="C26" s="31" t="s">
        <v>200</v>
      </c>
      <c r="D26" s="31" t="s">
        <v>201</v>
      </c>
    </row>
    <row r="27" spans="1:4">
      <c r="A27" s="29"/>
      <c r="B27" s="31" t="s">
        <v>202</v>
      </c>
      <c r="C27" s="31" t="s">
        <v>203</v>
      </c>
      <c r="D27" s="31" t="s">
        <v>204</v>
      </c>
    </row>
    <row r="29" spans="1:4">
      <c r="A29" s="4" t="s">
        <v>205</v>
      </c>
      <c r="B29" s="32" t="s">
        <v>175</v>
      </c>
      <c r="C29" s="32" t="s">
        <v>176</v>
      </c>
      <c r="D29" s="32" t="s">
        <v>177</v>
      </c>
    </row>
    <row r="30" spans="1:4">
      <c r="A30" s="4"/>
      <c r="B30" s="31" t="s">
        <v>206</v>
      </c>
      <c r="C30" s="31" t="s">
        <v>207</v>
      </c>
      <c r="D30" s="31" t="s">
        <v>208</v>
      </c>
    </row>
    <row r="31" spans="1:4">
      <c r="A31" s="4"/>
      <c r="B31" s="31" t="s">
        <v>209</v>
      </c>
      <c r="C31" s="31" t="s">
        <v>210</v>
      </c>
      <c r="D31" s="31" t="s">
        <v>211</v>
      </c>
    </row>
    <row r="33" spans="1:4">
      <c r="A33" s="33" t="s">
        <v>212</v>
      </c>
      <c r="B33" s="13" t="s">
        <v>175</v>
      </c>
      <c r="C33" s="13" t="s">
        <v>176</v>
      </c>
      <c r="D33" s="13" t="s">
        <v>177</v>
      </c>
    </row>
    <row r="34" spans="1:4">
      <c r="A34" s="33"/>
      <c r="B34" s="14" t="s">
        <v>213</v>
      </c>
      <c r="C34" s="14" t="s">
        <v>214</v>
      </c>
      <c r="D34" s="14" t="s">
        <v>215</v>
      </c>
    </row>
    <row r="35" spans="1:4">
      <c r="A35" s="33"/>
      <c r="B35" s="14" t="s">
        <v>216</v>
      </c>
      <c r="C35" s="14" t="s">
        <v>217</v>
      </c>
      <c r="D35" s="14" t="s">
        <v>218</v>
      </c>
    </row>
    <row r="38" ht="20.4" spans="1:4">
      <c r="A38" s="34" t="s">
        <v>219</v>
      </c>
    </row>
    <row r="40" spans="1:4">
      <c r="A40" s="13" t="s">
        <v>220</v>
      </c>
      <c r="B40" s="13" t="s">
        <v>221</v>
      </c>
    </row>
    <row r="41" ht="28.8" spans="1:4">
      <c r="A41" s="14" t="s">
        <v>222</v>
      </c>
      <c r="B41" s="14" t="s">
        <v>223</v>
      </c>
    </row>
    <row r="42" ht="28.8" spans="1:4">
      <c r="A42" s="14" t="s">
        <v>224</v>
      </c>
      <c r="B42" s="14" t="s">
        <v>225</v>
      </c>
    </row>
    <row r="43" ht="28.8" spans="1:4">
      <c r="A43" s="14" t="s">
        <v>226</v>
      </c>
      <c r="B43" s="14" t="s">
        <v>227</v>
      </c>
    </row>
    <row r="44" spans="1:4">
      <c r="A44" s="14" t="s">
        <v>228</v>
      </c>
      <c r="B44" s="14" t="s">
        <v>229</v>
      </c>
    </row>
    <row r="47" ht="15.6" spans="1:4">
      <c r="A47" s="25" t="s">
        <v>230</v>
      </c>
    </row>
    <row r="49" spans="1:3">
      <c r="A49" s="13" t="s">
        <v>231</v>
      </c>
      <c r="B49" s="13" t="s">
        <v>232</v>
      </c>
    </row>
    <row r="50" spans="1:3">
      <c r="A50" s="14" t="s">
        <v>233</v>
      </c>
      <c r="B50" s="14" t="s">
        <v>234</v>
      </c>
    </row>
    <row r="51" spans="1:3">
      <c r="A51" s="14" t="s">
        <v>235</v>
      </c>
      <c r="B51" s="14" t="s">
        <v>236</v>
      </c>
    </row>
    <row r="52" spans="1:3">
      <c r="A52" s="14" t="s">
        <v>237</v>
      </c>
      <c r="B52" s="14" t="s">
        <v>238</v>
      </c>
    </row>
    <row r="53" spans="1:3">
      <c r="A53" s="14" t="s">
        <v>239</v>
      </c>
      <c r="B53" s="14" t="s">
        <v>240</v>
      </c>
    </row>
    <row r="56" ht="20.4" spans="1:3">
      <c r="A56" s="34" t="s">
        <v>241</v>
      </c>
    </row>
    <row r="58" spans="1:3">
      <c r="A58" s="13" t="s">
        <v>242</v>
      </c>
      <c r="B58" s="13" t="s">
        <v>243</v>
      </c>
      <c r="C58" s="13" t="s">
        <v>244</v>
      </c>
    </row>
    <row r="59" spans="1:3">
      <c r="A59" s="14" t="s">
        <v>245</v>
      </c>
      <c r="B59" s="14" t="s">
        <v>246</v>
      </c>
      <c r="C59" s="14" t="s">
        <v>247</v>
      </c>
    </row>
    <row r="60" spans="1:3">
      <c r="A60" s="14" t="s">
        <v>248</v>
      </c>
      <c r="B60" s="14" t="s">
        <v>249</v>
      </c>
      <c r="C60" s="14" t="s">
        <v>250</v>
      </c>
    </row>
    <row r="61" spans="1:3">
      <c r="A61" s="14" t="s">
        <v>251</v>
      </c>
      <c r="B61" s="14" t="s">
        <v>252</v>
      </c>
      <c r="C61" s="14" t="s">
        <v>253</v>
      </c>
    </row>
    <row r="65" ht="37.8" spans="1:8">
      <c r="A65" s="34" t="s">
        <v>254</v>
      </c>
    </row>
    <row r="67" ht="28.8" spans="1:8">
      <c r="A67" s="13" t="s">
        <v>255</v>
      </c>
      <c r="B67" s="13" t="s">
        <v>256</v>
      </c>
      <c r="C67" s="13" t="s">
        <v>231</v>
      </c>
      <c r="D67" s="13" t="s">
        <v>257</v>
      </c>
      <c r="E67" s="13" t="s">
        <v>258</v>
      </c>
      <c r="F67" s="13" t="s">
        <v>259</v>
      </c>
      <c r="G67" s="13" t="s">
        <v>206</v>
      </c>
      <c r="H67" s="13" t="s">
        <v>260</v>
      </c>
    </row>
    <row r="68" spans="1:8">
      <c r="A68" s="14">
        <v>1</v>
      </c>
      <c r="B68" s="14" t="s">
        <v>261</v>
      </c>
      <c r="C68" s="14">
        <v>91</v>
      </c>
      <c r="D68" s="14">
        <v>6</v>
      </c>
      <c r="E68" s="35">
        <v>0.082</v>
      </c>
      <c r="F68" s="14">
        <v>4</v>
      </c>
      <c r="G68" s="36">
        <v>0.4</v>
      </c>
      <c r="H68" s="14" t="s">
        <v>234</v>
      </c>
    </row>
    <row r="69" spans="1:8">
      <c r="A69" s="14">
        <v>2</v>
      </c>
      <c r="B69" s="14" t="s">
        <v>262</v>
      </c>
      <c r="C69" s="14">
        <v>88</v>
      </c>
      <c r="D69" s="14">
        <v>8</v>
      </c>
      <c r="E69" s="35">
        <v>0.075</v>
      </c>
      <c r="F69" s="14">
        <v>3</v>
      </c>
      <c r="G69" s="36">
        <v>0.25</v>
      </c>
      <c r="H69" s="14" t="s">
        <v>236</v>
      </c>
    </row>
    <row r="70" spans="1:8">
      <c r="A70" s="14">
        <v>3</v>
      </c>
      <c r="B70" s="14" t="s">
        <v>263</v>
      </c>
      <c r="C70" s="14">
        <v>82</v>
      </c>
      <c r="D70" s="14">
        <v>4</v>
      </c>
      <c r="E70" s="35">
        <v>0.051</v>
      </c>
      <c r="F70" s="14">
        <v>6</v>
      </c>
      <c r="G70" s="36">
        <v>-0.3</v>
      </c>
      <c r="H70" s="14" t="s">
        <v>236</v>
      </c>
    </row>
    <row r="72" spans="1:8">
      <c r="A72" s="37"/>
    </row>
    <row r="73" ht="20.4" spans="1:8">
      <c r="A73" s="38" t="s">
        <v>264</v>
      </c>
    </row>
    <row r="76" ht="20.4" spans="1:8">
      <c r="A76" s="34" t="s">
        <v>265</v>
      </c>
    </row>
    <row r="77" spans="1:8">
      <c r="A77" s="15" t="s">
        <v>266</v>
      </c>
      <c r="B77" s="15" t="s">
        <v>267</v>
      </c>
      <c r="C77" s="15" t="s">
        <v>268</v>
      </c>
    </row>
    <row r="78" spans="1:8">
      <c r="A78" s="16" t="s">
        <v>269</v>
      </c>
      <c r="B78" s="16" t="s">
        <v>270</v>
      </c>
      <c r="C78" s="16" t="s">
        <v>271</v>
      </c>
    </row>
    <row r="79" spans="1:8">
      <c r="A79" s="16" t="s">
        <v>272</v>
      </c>
      <c r="B79" s="16" t="s">
        <v>273</v>
      </c>
      <c r="C79" s="16" t="s">
        <v>274</v>
      </c>
    </row>
    <row r="80" spans="1:8">
      <c r="A80" s="16" t="s">
        <v>275</v>
      </c>
      <c r="B80" s="16" t="s">
        <v>276</v>
      </c>
      <c r="C80" s="16" t="s">
        <v>277</v>
      </c>
    </row>
    <row r="81" spans="1:5">
      <c r="A81" s="16" t="s">
        <v>278</v>
      </c>
      <c r="B81" s="16" t="s">
        <v>279</v>
      </c>
      <c r="C81" s="16" t="s">
        <v>280</v>
      </c>
    </row>
    <row r="82" spans="1:5">
      <c r="A82" s="16" t="s">
        <v>281</v>
      </c>
      <c r="B82" s="16" t="s">
        <v>282</v>
      </c>
      <c r="C82" s="16" t="s">
        <v>283</v>
      </c>
    </row>
    <row r="83" spans="1:5">
      <c r="A83" s="16" t="s">
        <v>284</v>
      </c>
      <c r="B83" s="16" t="s">
        <v>285</v>
      </c>
      <c r="C83" s="16" t="s">
        <v>286</v>
      </c>
    </row>
    <row r="84" spans="1:5">
      <c r="A84" s="16" t="s">
        <v>287</v>
      </c>
      <c r="B84" s="16" t="s">
        <v>288</v>
      </c>
      <c r="C84" s="16" t="s">
        <v>289</v>
      </c>
    </row>
    <row r="87" ht="37.8" spans="1:5">
      <c r="A87" s="34" t="s">
        <v>290</v>
      </c>
    </row>
    <row r="89" spans="1:5">
      <c r="A89" s="13" t="s">
        <v>291</v>
      </c>
      <c r="B89" s="13" t="s">
        <v>292</v>
      </c>
      <c r="C89" s="13" t="s">
        <v>293</v>
      </c>
      <c r="D89" s="13" t="s">
        <v>294</v>
      </c>
      <c r="E89" s="13" t="s">
        <v>295</v>
      </c>
    </row>
    <row r="90" spans="1:5">
      <c r="A90" s="14">
        <v>1</v>
      </c>
      <c r="B90" s="14" t="s">
        <v>296</v>
      </c>
      <c r="C90" s="14" t="s">
        <v>269</v>
      </c>
      <c r="D90" s="14" t="s">
        <v>297</v>
      </c>
      <c r="E90" s="14" t="s">
        <v>298</v>
      </c>
    </row>
    <row r="91" spans="1:5">
      <c r="A91" s="14">
        <v>2</v>
      </c>
      <c r="B91" s="14" t="s">
        <v>299</v>
      </c>
      <c r="C91" s="14" t="s">
        <v>272</v>
      </c>
      <c r="D91" s="14" t="s">
        <v>300</v>
      </c>
      <c r="E91" s="14" t="s">
        <v>298</v>
      </c>
    </row>
    <row r="92" spans="1:5">
      <c r="A92" s="14">
        <v>3</v>
      </c>
      <c r="B92" s="14" t="s">
        <v>301</v>
      </c>
      <c r="C92" s="14" t="s">
        <v>275</v>
      </c>
      <c r="D92" s="14" t="s">
        <v>302</v>
      </c>
      <c r="E92" s="14" t="s">
        <v>298</v>
      </c>
    </row>
    <row r="93" spans="1:5">
      <c r="A93" s="14">
        <v>4</v>
      </c>
      <c r="B93" s="14" t="s">
        <v>303</v>
      </c>
      <c r="C93" s="14" t="s">
        <v>275</v>
      </c>
      <c r="D93" s="14" t="s">
        <v>304</v>
      </c>
      <c r="E93" s="14" t="s">
        <v>305</v>
      </c>
    </row>
    <row r="94" spans="1:5">
      <c r="A94" s="14">
        <v>5</v>
      </c>
      <c r="B94" s="14" t="s">
        <v>306</v>
      </c>
      <c r="C94" s="14" t="s">
        <v>278</v>
      </c>
      <c r="D94" s="14" t="s">
        <v>307</v>
      </c>
      <c r="E94" s="14" t="s">
        <v>305</v>
      </c>
    </row>
    <row r="95" spans="1:5">
      <c r="A95" s="14">
        <v>6</v>
      </c>
      <c r="B95" s="14" t="s">
        <v>308</v>
      </c>
      <c r="C95" s="14" t="s">
        <v>278</v>
      </c>
      <c r="D95" s="14" t="s">
        <v>309</v>
      </c>
      <c r="E95" s="14" t="s">
        <v>305</v>
      </c>
    </row>
    <row r="96" spans="1:5">
      <c r="A96" s="14">
        <v>7</v>
      </c>
      <c r="B96" s="14" t="s">
        <v>310</v>
      </c>
      <c r="C96" s="14" t="s">
        <v>272</v>
      </c>
      <c r="D96" s="14" t="s">
        <v>311</v>
      </c>
      <c r="E96" s="14" t="s">
        <v>298</v>
      </c>
    </row>
    <row r="97" spans="1:5">
      <c r="A97" s="14">
        <v>8</v>
      </c>
      <c r="B97" s="14" t="s">
        <v>312</v>
      </c>
      <c r="C97" s="14" t="s">
        <v>281</v>
      </c>
      <c r="D97" s="14" t="s">
        <v>313</v>
      </c>
      <c r="E97" s="14" t="s">
        <v>305</v>
      </c>
    </row>
    <row r="98" spans="1:5">
      <c r="A98" s="14">
        <v>9</v>
      </c>
      <c r="B98" s="14" t="s">
        <v>314</v>
      </c>
      <c r="C98" s="14" t="s">
        <v>284</v>
      </c>
      <c r="D98" s="14" t="s">
        <v>315</v>
      </c>
      <c r="E98" s="14" t="s">
        <v>305</v>
      </c>
    </row>
    <row r="99" spans="1:5">
      <c r="A99" s="14">
        <v>10</v>
      </c>
      <c r="B99" s="14" t="s">
        <v>316</v>
      </c>
      <c r="C99" s="14" t="s">
        <v>317</v>
      </c>
      <c r="D99" s="14" t="s">
        <v>318</v>
      </c>
      <c r="E99" s="14" t="s">
        <v>305</v>
      </c>
    </row>
    <row r="100" spans="1:5">
      <c r="A100" s="14">
        <v>11</v>
      </c>
      <c r="B100" s="14" t="s">
        <v>319</v>
      </c>
      <c r="C100" s="14" t="s">
        <v>275</v>
      </c>
      <c r="D100" s="14" t="s">
        <v>320</v>
      </c>
      <c r="E100" s="14" t="s">
        <v>321</v>
      </c>
    </row>
    <row r="101" spans="1:5">
      <c r="A101" s="14">
        <v>12</v>
      </c>
      <c r="B101" s="14" t="s">
        <v>322</v>
      </c>
      <c r="C101" s="14" t="s">
        <v>278</v>
      </c>
      <c r="D101" s="14" t="s">
        <v>323</v>
      </c>
      <c r="E101" s="14" t="s">
        <v>321</v>
      </c>
    </row>
    <row r="103" ht="20.4" spans="1:5">
      <c r="A103" s="34" t="s">
        <v>324</v>
      </c>
    </row>
    <row r="104" ht="19.2" spans="1:5">
      <c r="A104" s="39" t="s">
        <v>325</v>
      </c>
      <c r="B104" s="3"/>
    </row>
    <row r="105" spans="1:5">
      <c r="A105" s="15" t="s">
        <v>326</v>
      </c>
      <c r="B105" s="15" t="s">
        <v>268</v>
      </c>
    </row>
    <row r="106" spans="1:5">
      <c r="A106" s="16" t="s">
        <v>327</v>
      </c>
      <c r="B106" s="16" t="s">
        <v>328</v>
      </c>
    </row>
    <row r="107" spans="1:5">
      <c r="A107" s="16" t="s">
        <v>329</v>
      </c>
      <c r="B107" s="16" t="s">
        <v>330</v>
      </c>
    </row>
    <row r="108" spans="1:5">
      <c r="A108" s="16" t="s">
        <v>331</v>
      </c>
      <c r="B108" s="16" t="s">
        <v>332</v>
      </c>
    </row>
    <row r="109" spans="1:5">
      <c r="A109" s="16" t="s">
        <v>333</v>
      </c>
      <c r="B109" s="16" t="s">
        <v>334</v>
      </c>
    </row>
    <row r="110" spans="1:5">
      <c r="A110" s="16" t="s">
        <v>335</v>
      </c>
      <c r="B110" s="16" t="s">
        <v>336</v>
      </c>
    </row>
    <row r="111" spans="1:5">
      <c r="A111" s="16" t="s">
        <v>337</v>
      </c>
      <c r="B111" s="16" t="s">
        <v>338</v>
      </c>
    </row>
    <row r="112" spans="1:5">
      <c r="A112" s="16" t="s">
        <v>339</v>
      </c>
      <c r="B112" s="16" t="s">
        <v>340</v>
      </c>
    </row>
    <row r="113" spans="1:2">
      <c r="A113" s="16" t="s">
        <v>341</v>
      </c>
      <c r="B113" s="16" t="s">
        <v>342</v>
      </c>
    </row>
    <row r="114" spans="1:2">
      <c r="A114" s="16" t="s">
        <v>343</v>
      </c>
      <c r="B114" s="16" t="s">
        <v>344</v>
      </c>
    </row>
    <row r="115" spans="1:2">
      <c r="A115" s="16" t="s">
        <v>345</v>
      </c>
      <c r="B115" s="16" t="s">
        <v>346</v>
      </c>
    </row>
    <row r="116" spans="1:2">
      <c r="A116" s="16" t="s">
        <v>347</v>
      </c>
      <c r="B116" s="16" t="s">
        <v>348</v>
      </c>
    </row>
    <row r="117" spans="1:2">
      <c r="A117" s="16" t="s">
        <v>349</v>
      </c>
      <c r="B117" s="16" t="s">
        <v>350</v>
      </c>
    </row>
    <row r="119" ht="19.2" spans="1:2">
      <c r="A119" s="40" t="s">
        <v>351</v>
      </c>
    </row>
    <row r="121" spans="1:2">
      <c r="A121" s="41" t="s">
        <v>326</v>
      </c>
      <c r="B121" s="41" t="s">
        <v>268</v>
      </c>
    </row>
    <row r="122" spans="1:2">
      <c r="A122" s="16" t="s">
        <v>352</v>
      </c>
      <c r="B122" s="16" t="s">
        <v>353</v>
      </c>
    </row>
    <row r="123" spans="1:2">
      <c r="A123" s="16" t="s">
        <v>354</v>
      </c>
      <c r="B123" s="16" t="s">
        <v>355</v>
      </c>
    </row>
    <row r="124" spans="1:2">
      <c r="A124" s="16" t="s">
        <v>356</v>
      </c>
      <c r="B124" s="16" t="s">
        <v>357</v>
      </c>
    </row>
    <row r="125" spans="1:2">
      <c r="A125" s="16" t="s">
        <v>339</v>
      </c>
      <c r="B125" s="16" t="s">
        <v>340</v>
      </c>
    </row>
    <row r="126" spans="1:2">
      <c r="A126" s="16" t="s">
        <v>343</v>
      </c>
      <c r="B126" s="16" t="s">
        <v>344</v>
      </c>
    </row>
    <row r="127" spans="1:2">
      <c r="A127" s="16" t="s">
        <v>345</v>
      </c>
      <c r="B127" s="16" t="s">
        <v>346</v>
      </c>
    </row>
    <row r="128" spans="1:2">
      <c r="A128" s="16" t="s">
        <v>358</v>
      </c>
      <c r="B128" s="16" t="s">
        <v>359</v>
      </c>
    </row>
    <row r="129" spans="1:2">
      <c r="A129" s="16" t="s">
        <v>360</v>
      </c>
      <c r="B129" s="16" t="s">
        <v>361</v>
      </c>
    </row>
    <row r="131" ht="19.2" spans="1:2">
      <c r="A131" s="40" t="s">
        <v>362</v>
      </c>
    </row>
    <row r="133" spans="1:2">
      <c r="A133" s="41" t="s">
        <v>326</v>
      </c>
      <c r="B133" s="41" t="s">
        <v>268</v>
      </c>
    </row>
    <row r="134" spans="1:2">
      <c r="A134" s="16" t="s">
        <v>352</v>
      </c>
      <c r="B134" s="16" t="s">
        <v>353</v>
      </c>
    </row>
    <row r="135" spans="1:2">
      <c r="A135" s="16" t="s">
        <v>354</v>
      </c>
      <c r="B135" s="16" t="s">
        <v>355</v>
      </c>
    </row>
    <row r="136" spans="1:2">
      <c r="A136" s="16" t="s">
        <v>356</v>
      </c>
      <c r="B136" s="16" t="s">
        <v>357</v>
      </c>
    </row>
    <row r="137" spans="1:2">
      <c r="A137" s="16" t="s">
        <v>339</v>
      </c>
      <c r="B137" s="16" t="s">
        <v>340</v>
      </c>
    </row>
    <row r="138" spans="1:2">
      <c r="A138" s="16" t="s">
        <v>343</v>
      </c>
      <c r="B138" s="16" t="s">
        <v>344</v>
      </c>
    </row>
    <row r="139" spans="1:2">
      <c r="A139" s="16" t="s">
        <v>345</v>
      </c>
      <c r="B139" s="16" t="s">
        <v>346</v>
      </c>
    </row>
    <row r="140" spans="1:2">
      <c r="A140" s="16" t="s">
        <v>358</v>
      </c>
      <c r="B140" s="16" t="s">
        <v>359</v>
      </c>
    </row>
    <row r="141" spans="1:2">
      <c r="A141" s="16" t="s">
        <v>360</v>
      </c>
      <c r="B141" s="16" t="s">
        <v>361</v>
      </c>
    </row>
    <row r="143" ht="19.2" spans="1:2">
      <c r="A143" s="40" t="s">
        <v>363</v>
      </c>
    </row>
    <row r="145" spans="1:2">
      <c r="A145" s="41" t="s">
        <v>326</v>
      </c>
      <c r="B145" s="41" t="s">
        <v>268</v>
      </c>
    </row>
    <row r="146" spans="1:2">
      <c r="A146" s="16" t="s">
        <v>352</v>
      </c>
      <c r="B146" s="16" t="s">
        <v>353</v>
      </c>
    </row>
    <row r="147" spans="1:2">
      <c r="A147" s="16" t="s">
        <v>364</v>
      </c>
      <c r="B147" s="16" t="s">
        <v>365</v>
      </c>
    </row>
    <row r="148" spans="1:2">
      <c r="A148" s="16" t="s">
        <v>366</v>
      </c>
      <c r="B148" s="16" t="s">
        <v>367</v>
      </c>
    </row>
    <row r="149" spans="1:2">
      <c r="A149" s="16" t="s">
        <v>368</v>
      </c>
      <c r="B149" s="16" t="s">
        <v>369</v>
      </c>
    </row>
    <row r="150" spans="1:2">
      <c r="A150" s="16" t="s">
        <v>370</v>
      </c>
      <c r="B150" s="16" t="s">
        <v>371</v>
      </c>
    </row>
    <row r="151" spans="1:2">
      <c r="A151" s="16" t="s">
        <v>372</v>
      </c>
      <c r="B151" s="16" t="s">
        <v>373</v>
      </c>
    </row>
    <row r="152" spans="1:2">
      <c r="A152" s="16" t="s">
        <v>374</v>
      </c>
      <c r="B152" s="16" t="s">
        <v>375</v>
      </c>
    </row>
    <row r="154" ht="19.2" spans="1:2">
      <c r="A154" s="40" t="s">
        <v>376</v>
      </c>
    </row>
    <row r="156" spans="1:2">
      <c r="A156" s="41" t="s">
        <v>326</v>
      </c>
      <c r="B156" s="41" t="s">
        <v>268</v>
      </c>
    </row>
    <row r="157" spans="1:2">
      <c r="A157" s="42" t="s">
        <v>329</v>
      </c>
      <c r="B157" s="42" t="s">
        <v>330</v>
      </c>
    </row>
    <row r="158" spans="1:2">
      <c r="A158" s="42" t="s">
        <v>377</v>
      </c>
      <c r="B158" s="42" t="s">
        <v>378</v>
      </c>
    </row>
    <row r="159" spans="1:2">
      <c r="A159" s="42" t="s">
        <v>379</v>
      </c>
      <c r="B159" s="42" t="s">
        <v>380</v>
      </c>
    </row>
    <row r="160" spans="1:2">
      <c r="A160" s="42" t="s">
        <v>381</v>
      </c>
      <c r="B160" s="42" t="s">
        <v>382</v>
      </c>
    </row>
    <row r="161" spans="1:4">
      <c r="A161" s="42" t="s">
        <v>383</v>
      </c>
      <c r="B161" s="42" t="s">
        <v>384</v>
      </c>
    </row>
    <row r="162" spans="1:4">
      <c r="A162" s="42" t="s">
        <v>385</v>
      </c>
      <c r="B162" s="42" t="s">
        <v>386</v>
      </c>
    </row>
    <row r="165" ht="19.2" spans="1:4">
      <c r="A165" s="40" t="s">
        <v>387</v>
      </c>
    </row>
    <row r="167" spans="1:4">
      <c r="A167" s="41" t="s">
        <v>326</v>
      </c>
      <c r="B167" s="41" t="s">
        <v>268</v>
      </c>
    </row>
    <row r="168" spans="1:4">
      <c r="A168" s="42" t="s">
        <v>352</v>
      </c>
      <c r="B168" s="42" t="s">
        <v>353</v>
      </c>
    </row>
    <row r="169" spans="1:4">
      <c r="A169" s="42" t="s">
        <v>388</v>
      </c>
      <c r="B169" s="42" t="s">
        <v>389</v>
      </c>
    </row>
    <row r="170" spans="1:4">
      <c r="A170" s="42" t="s">
        <v>390</v>
      </c>
      <c r="B170" s="42" t="s">
        <v>391</v>
      </c>
    </row>
    <row r="171" spans="1:4">
      <c r="A171" s="42" t="s">
        <v>392</v>
      </c>
      <c r="B171" s="42" t="s">
        <v>393</v>
      </c>
    </row>
    <row r="172" spans="1:4">
      <c r="A172" s="42" t="s">
        <v>394</v>
      </c>
      <c r="B172" s="42" t="s">
        <v>395</v>
      </c>
    </row>
    <row r="174" ht="20.4" spans="1:4">
      <c r="A174" s="34" t="s">
        <v>396</v>
      </c>
    </row>
    <row r="176" spans="1:4">
      <c r="A176" s="13" t="s">
        <v>397</v>
      </c>
      <c r="B176" s="13" t="s">
        <v>398</v>
      </c>
      <c r="C176" s="13" t="s">
        <v>399</v>
      </c>
      <c r="D176" s="13" t="s">
        <v>400</v>
      </c>
    </row>
    <row r="177" spans="1:4">
      <c r="A177" s="43" t="s">
        <v>401</v>
      </c>
      <c r="B177" s="14" t="s">
        <v>402</v>
      </c>
      <c r="C177" s="14" t="s">
        <v>403</v>
      </c>
      <c r="D177" s="14" t="s">
        <v>301</v>
      </c>
    </row>
    <row r="178" spans="1:4">
      <c r="A178" s="44"/>
      <c r="B178" s="14" t="s">
        <v>184</v>
      </c>
      <c r="C178" s="14" t="s">
        <v>404</v>
      </c>
      <c r="D178" s="14" t="s">
        <v>301</v>
      </c>
    </row>
    <row r="179" spans="1:4">
      <c r="A179" s="45"/>
      <c r="B179" s="14" t="s">
        <v>405</v>
      </c>
      <c r="C179" s="14" t="s">
        <v>406</v>
      </c>
      <c r="D179" s="14" t="s">
        <v>301</v>
      </c>
    </row>
    <row r="180" spans="1:4">
      <c r="A180" s="43" t="s">
        <v>407</v>
      </c>
      <c r="B180" s="14" t="s">
        <v>408</v>
      </c>
      <c r="C180" s="14" t="s">
        <v>188</v>
      </c>
      <c r="D180" s="14" t="s">
        <v>409</v>
      </c>
    </row>
    <row r="181" spans="1:4">
      <c r="A181" s="44"/>
      <c r="B181" s="14" t="s">
        <v>410</v>
      </c>
      <c r="C181" s="14" t="s">
        <v>411</v>
      </c>
      <c r="D181" s="14" t="s">
        <v>299</v>
      </c>
    </row>
    <row r="182" spans="1:4">
      <c r="A182" s="44"/>
      <c r="B182" s="14" t="s">
        <v>412</v>
      </c>
      <c r="C182" s="14" t="s">
        <v>413</v>
      </c>
      <c r="D182" s="14" t="s">
        <v>299</v>
      </c>
    </row>
    <row r="183" spans="1:4">
      <c r="A183" s="45"/>
      <c r="B183" s="14" t="s">
        <v>193</v>
      </c>
      <c r="C183" s="14" t="s">
        <v>414</v>
      </c>
      <c r="D183" s="14" t="s">
        <v>299</v>
      </c>
    </row>
    <row r="184" ht="28.8" spans="1:4">
      <c r="A184" s="43" t="s">
        <v>415</v>
      </c>
      <c r="B184" s="14" t="s">
        <v>199</v>
      </c>
      <c r="C184" s="14" t="s">
        <v>416</v>
      </c>
      <c r="D184" s="14" t="s">
        <v>417</v>
      </c>
    </row>
    <row r="185" spans="1:4">
      <c r="A185" s="44"/>
      <c r="B185" s="14" t="s">
        <v>418</v>
      </c>
      <c r="C185" s="14" t="s">
        <v>419</v>
      </c>
      <c r="D185" s="14" t="s">
        <v>306</v>
      </c>
    </row>
    <row r="186" spans="1:4">
      <c r="A186" s="45"/>
      <c r="B186" s="14" t="s">
        <v>420</v>
      </c>
      <c r="C186" s="14" t="s">
        <v>421</v>
      </c>
      <c r="D186" s="14" t="s">
        <v>308</v>
      </c>
    </row>
    <row r="187" spans="1:4">
      <c r="A187" s="43" t="s">
        <v>422</v>
      </c>
      <c r="B187" s="14" t="s">
        <v>423</v>
      </c>
      <c r="C187" s="14" t="s">
        <v>424</v>
      </c>
      <c r="D187" s="14" t="s">
        <v>312</v>
      </c>
    </row>
    <row r="188" spans="1:4">
      <c r="A188" s="44"/>
      <c r="B188" s="14" t="s">
        <v>425</v>
      </c>
      <c r="C188" s="14" t="s">
        <v>426</v>
      </c>
      <c r="D188" s="14" t="s">
        <v>314</v>
      </c>
    </row>
    <row r="189" spans="1:4">
      <c r="A189" s="45"/>
      <c r="B189" s="14" t="s">
        <v>427</v>
      </c>
      <c r="C189" s="14" t="s">
        <v>428</v>
      </c>
      <c r="D189" s="14" t="s">
        <v>312</v>
      </c>
    </row>
    <row r="191" ht="20.4" spans="1:4">
      <c r="A191" s="34" t="s">
        <v>429</v>
      </c>
    </row>
    <row r="193" ht="43.2" spans="1:9">
      <c r="A193" s="13" t="s">
        <v>255</v>
      </c>
      <c r="B193" s="13" t="s">
        <v>256</v>
      </c>
      <c r="C193" s="13" t="s">
        <v>430</v>
      </c>
      <c r="D193" s="13" t="s">
        <v>431</v>
      </c>
      <c r="E193" s="13" t="s">
        <v>432</v>
      </c>
      <c r="F193" s="13" t="s">
        <v>433</v>
      </c>
      <c r="G193" s="13" t="s">
        <v>434</v>
      </c>
      <c r="H193" s="13" t="s">
        <v>435</v>
      </c>
      <c r="I193" s="13" t="s">
        <v>260</v>
      </c>
    </row>
    <row r="194" spans="1:9">
      <c r="A194" s="14">
        <v>1</v>
      </c>
      <c r="B194" s="14" t="s">
        <v>261</v>
      </c>
      <c r="C194" s="14">
        <v>92</v>
      </c>
      <c r="D194" s="14">
        <v>88</v>
      </c>
      <c r="E194" s="14">
        <v>85</v>
      </c>
      <c r="F194" s="14">
        <v>90</v>
      </c>
      <c r="G194" s="14">
        <v>87</v>
      </c>
      <c r="H194" s="14">
        <v>89</v>
      </c>
      <c r="I194" s="14" t="s">
        <v>234</v>
      </c>
    </row>
    <row r="195" spans="1:9">
      <c r="A195" s="14">
        <v>2</v>
      </c>
      <c r="B195" s="14" t="s">
        <v>262</v>
      </c>
      <c r="C195" s="14">
        <v>90</v>
      </c>
      <c r="D195" s="14">
        <v>91</v>
      </c>
      <c r="E195" s="14">
        <v>82</v>
      </c>
      <c r="F195" s="14">
        <v>86</v>
      </c>
      <c r="G195" s="14">
        <v>85</v>
      </c>
      <c r="H195" s="14">
        <v>88.1</v>
      </c>
      <c r="I195" s="14" t="s">
        <v>236</v>
      </c>
    </row>
    <row r="196" spans="1:9">
      <c r="A196" s="14">
        <v>3</v>
      </c>
      <c r="B196" s="14" t="s">
        <v>263</v>
      </c>
      <c r="C196" s="14">
        <v>75</v>
      </c>
      <c r="D196" s="14">
        <v>70</v>
      </c>
      <c r="E196" s="14">
        <v>60</v>
      </c>
      <c r="F196" s="14">
        <v>80</v>
      </c>
      <c r="G196" s="14">
        <v>65</v>
      </c>
      <c r="H196" s="14">
        <v>72</v>
      </c>
      <c r="I196" s="14" t="s">
        <v>238</v>
      </c>
    </row>
    <row r="197" spans="1:9">
      <c r="A197" s="14">
        <v>4</v>
      </c>
      <c r="B197" s="14" t="s">
        <v>436</v>
      </c>
      <c r="C197" s="14">
        <v>40</v>
      </c>
      <c r="D197" s="14">
        <v>35</v>
      </c>
      <c r="E197" s="14">
        <v>20</v>
      </c>
      <c r="F197" s="14">
        <v>50</v>
      </c>
      <c r="G197" s="14">
        <v>30</v>
      </c>
      <c r="H197" s="14">
        <v>36.5</v>
      </c>
      <c r="I197" s="14" t="s">
        <v>240</v>
      </c>
    </row>
    <row r="200" ht="20.4" spans="1:9">
      <c r="A200" s="34" t="s">
        <v>437</v>
      </c>
    </row>
    <row r="202" ht="15.6" spans="1:9">
      <c r="A202" s="39" t="s">
        <v>438</v>
      </c>
      <c r="B202" s="3"/>
    </row>
    <row r="203" spans="1:9">
      <c r="A203" s="15" t="s">
        <v>295</v>
      </c>
      <c r="B203" s="15" t="s">
        <v>267</v>
      </c>
    </row>
    <row r="204" spans="1:9">
      <c r="A204" s="16" t="s">
        <v>298</v>
      </c>
      <c r="B204" s="16" t="s">
        <v>439</v>
      </c>
    </row>
    <row r="205" spans="1:9">
      <c r="A205" s="16" t="s">
        <v>305</v>
      </c>
      <c r="B205" s="16" t="s">
        <v>440</v>
      </c>
    </row>
    <row r="206" spans="1:9">
      <c r="A206" s="16" t="s">
        <v>321</v>
      </c>
      <c r="B206" s="16" t="s">
        <v>441</v>
      </c>
    </row>
    <row r="208" ht="15.6" spans="1:9">
      <c r="A208" s="39" t="s">
        <v>442</v>
      </c>
      <c r="B208" s="3"/>
      <c r="C208" s="3"/>
    </row>
    <row r="209" spans="1:3">
      <c r="A209" s="15" t="s">
        <v>443</v>
      </c>
      <c r="B209" s="15" t="s">
        <v>444</v>
      </c>
      <c r="C209" s="15" t="s">
        <v>445</v>
      </c>
    </row>
    <row r="210" spans="1:3">
      <c r="A210" s="16" t="s">
        <v>446</v>
      </c>
      <c r="B210" s="16" t="s">
        <v>447</v>
      </c>
      <c r="C210" s="16" t="s">
        <v>448</v>
      </c>
    </row>
    <row r="211" spans="1:3">
      <c r="A211" s="16" t="s">
        <v>449</v>
      </c>
      <c r="B211" s="16" t="s">
        <v>450</v>
      </c>
      <c r="C211" s="16" t="s">
        <v>451</v>
      </c>
    </row>
    <row r="212" spans="1:3">
      <c r="A212" s="16" t="s">
        <v>452</v>
      </c>
      <c r="B212" s="16" t="s">
        <v>453</v>
      </c>
      <c r="C212" s="16" t="s">
        <v>454</v>
      </c>
    </row>
    <row r="213" spans="1:3">
      <c r="A213" s="16" t="s">
        <v>455</v>
      </c>
      <c r="B213" s="16" t="s">
        <v>456</v>
      </c>
      <c r="C213" s="16" t="s">
        <v>457</v>
      </c>
    </row>
    <row r="214" spans="1:3">
      <c r="A214" s="16" t="s">
        <v>458</v>
      </c>
      <c r="B214" s="16" t="s">
        <v>459</v>
      </c>
      <c r="C214" s="16" t="s">
        <v>460</v>
      </c>
    </row>
    <row r="215" spans="1:3">
      <c r="A215" s="16" t="s">
        <v>461</v>
      </c>
      <c r="B215" s="16" t="s">
        <v>462</v>
      </c>
      <c r="C215" s="16" t="s">
        <v>463</v>
      </c>
    </row>
  </sheetData>
  <mergeCells count="9">
    <mergeCell ref="A13:A16"/>
    <mergeCell ref="A18:A21"/>
    <mergeCell ref="A24:A27"/>
    <mergeCell ref="A29:A31"/>
    <mergeCell ref="A33:A35"/>
    <mergeCell ref="A177:A179"/>
    <mergeCell ref="A180:A183"/>
    <mergeCell ref="A184:A186"/>
    <mergeCell ref="A187:A18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"/>
  <sheetViews>
    <sheetView workbookViewId="0">
      <selection activeCell="F10" sqref="F10"/>
    </sheetView>
  </sheetViews>
  <sheetFormatPr defaultColWidth="8.88888888888889" defaultRowHeight="14.4" outlineLevelRow="1" outlineLevelCol="5"/>
  <cols>
    <col min="5" max="5" width="14.7777777777778" customWidth="1"/>
    <col min="6" max="6" width="15.6666666666667" customWidth="1"/>
  </cols>
  <sheetData>
    <row r="2" spans="1:6">
      <c r="A2" s="3" t="s">
        <v>464</v>
      </c>
      <c r="B2" s="3" t="s">
        <v>255</v>
      </c>
      <c r="C2" s="3" t="s">
        <v>465</v>
      </c>
      <c r="D2" s="3" t="s">
        <v>256</v>
      </c>
      <c r="E2" s="3" t="s">
        <v>466</v>
      </c>
      <c r="F2" s="3" t="s">
        <v>467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C16" sqref="C16"/>
    </sheetView>
  </sheetViews>
  <sheetFormatPr defaultColWidth="8.88888888888889" defaultRowHeight="14.4" outlineLevelCol="2"/>
  <cols>
    <col min="1" max="1" width="30" customWidth="1"/>
    <col min="2" max="2" width="63.6666666666667" customWidth="1"/>
    <col min="3" max="3" width="33.3333333333333" customWidth="1"/>
  </cols>
  <sheetData>
    <row r="1" spans="1:3">
      <c r="A1" s="7" t="s">
        <v>468</v>
      </c>
      <c r="B1" s="8"/>
    </row>
    <row r="2" customHeight="1" spans="1:3">
      <c r="A2" s="9" t="s">
        <v>469</v>
      </c>
      <c r="B2" s="9" t="s">
        <v>470</v>
      </c>
    </row>
    <row r="3" spans="1:3">
      <c r="A3" s="10" t="s">
        <v>471</v>
      </c>
      <c r="B3" s="10" t="s">
        <v>472</v>
      </c>
    </row>
    <row r="4" spans="1:3">
      <c r="A4" s="10" t="s">
        <v>473</v>
      </c>
      <c r="B4" s="10" t="s">
        <v>474</v>
      </c>
    </row>
    <row r="5" spans="1:3">
      <c r="A5" s="10" t="s">
        <v>475</v>
      </c>
      <c r="B5" s="10" t="s">
        <v>476</v>
      </c>
    </row>
    <row r="6" spans="1:3">
      <c r="A6" s="10" t="s">
        <v>477</v>
      </c>
      <c r="B6" s="10" t="s">
        <v>478</v>
      </c>
    </row>
    <row r="7" customHeight="1" spans="1:3">
      <c r="A7" s="10" t="s">
        <v>479</v>
      </c>
      <c r="B7" s="10" t="s">
        <v>480</v>
      </c>
    </row>
    <row r="9" ht="27" spans="1:3">
      <c r="A9" s="11" t="s">
        <v>481</v>
      </c>
    </row>
    <row r="11" ht="20.4" spans="1:3">
      <c r="A11" s="12" t="s">
        <v>482</v>
      </c>
    </row>
    <row r="13" spans="1:3">
      <c r="A13" s="13" t="s">
        <v>326</v>
      </c>
      <c r="B13" s="13" t="s">
        <v>483</v>
      </c>
      <c r="C13" s="13" t="s">
        <v>484</v>
      </c>
    </row>
    <row r="14" spans="1:3">
      <c r="A14" s="14" t="s">
        <v>485</v>
      </c>
      <c r="B14" s="14" t="s">
        <v>486</v>
      </c>
      <c r="C14" s="14" t="s">
        <v>487</v>
      </c>
    </row>
    <row r="15" spans="1:3">
      <c r="A15" s="14" t="s">
        <v>488</v>
      </c>
      <c r="B15" s="14" t="s">
        <v>489</v>
      </c>
      <c r="C15" s="14" t="s">
        <v>490</v>
      </c>
    </row>
    <row r="16" ht="28.8" spans="1:3">
      <c r="A16" s="14" t="s">
        <v>491</v>
      </c>
      <c r="B16" s="14" t="s">
        <v>492</v>
      </c>
      <c r="C16" s="14" t="s">
        <v>493</v>
      </c>
    </row>
    <row r="17" spans="1:3">
      <c r="A17" s="14" t="s">
        <v>494</v>
      </c>
      <c r="B17" s="14" t="s">
        <v>495</v>
      </c>
      <c r="C17" s="14" t="s">
        <v>496</v>
      </c>
    </row>
    <row r="19" ht="20.4" spans="1:3">
      <c r="A19" s="12" t="s">
        <v>497</v>
      </c>
    </row>
    <row r="21" spans="1:3">
      <c r="A21" s="15" t="s">
        <v>326</v>
      </c>
      <c r="B21" s="15" t="s">
        <v>483</v>
      </c>
    </row>
    <row r="22" spans="1:3">
      <c r="A22" s="16" t="s">
        <v>498</v>
      </c>
      <c r="B22" s="16" t="s">
        <v>499</v>
      </c>
    </row>
    <row r="23" spans="1:3">
      <c r="A23" s="16" t="s">
        <v>500</v>
      </c>
      <c r="B23" s="16" t="s">
        <v>501</v>
      </c>
    </row>
    <row r="24" ht="28.8" spans="1:3">
      <c r="A24" s="16" t="s">
        <v>502</v>
      </c>
      <c r="B24" s="16" t="s">
        <v>503</v>
      </c>
    </row>
    <row r="25" spans="1:3">
      <c r="A25" s="16" t="s">
        <v>504</v>
      </c>
      <c r="B25" s="16" t="s">
        <v>505</v>
      </c>
    </row>
    <row r="27" ht="20.4" spans="1:3">
      <c r="A27" s="12" t="s">
        <v>506</v>
      </c>
    </row>
    <row r="29" spans="1:3">
      <c r="A29" s="13" t="s">
        <v>326</v>
      </c>
      <c r="B29" s="13" t="s">
        <v>268</v>
      </c>
    </row>
    <row r="30" spans="1:3">
      <c r="A30" s="14" t="s">
        <v>507</v>
      </c>
      <c r="B30" s="14" t="s">
        <v>508</v>
      </c>
    </row>
    <row r="31" spans="1:3">
      <c r="A31" s="14" t="s">
        <v>509</v>
      </c>
      <c r="B31" s="14" t="s">
        <v>510</v>
      </c>
    </row>
    <row r="32" spans="1:3">
      <c r="A32" s="14" t="s">
        <v>511</v>
      </c>
      <c r="B32" s="14" t="s">
        <v>512</v>
      </c>
    </row>
    <row r="33" spans="1:2">
      <c r="A33" s="14" t="s">
        <v>513</v>
      </c>
      <c r="B33" s="14" t="s">
        <v>514</v>
      </c>
    </row>
    <row r="35" ht="20.4" spans="1:2">
      <c r="A35" s="12" t="s">
        <v>515</v>
      </c>
    </row>
    <row r="37" spans="1:2">
      <c r="A37" s="15" t="s">
        <v>326</v>
      </c>
      <c r="B37" s="15" t="s">
        <v>268</v>
      </c>
    </row>
    <row r="38" spans="1:2">
      <c r="A38" s="16" t="s">
        <v>516</v>
      </c>
      <c r="B38" s="16" t="s">
        <v>517</v>
      </c>
    </row>
    <row r="39" spans="1:2">
      <c r="A39" s="16" t="s">
        <v>518</v>
      </c>
      <c r="B39" s="16" t="s">
        <v>519</v>
      </c>
    </row>
    <row r="40" spans="1:2">
      <c r="A40" s="16" t="s">
        <v>520</v>
      </c>
      <c r="B40" s="16" t="s">
        <v>521</v>
      </c>
    </row>
    <row r="43" ht="20.4" spans="1:2">
      <c r="A43" s="12" t="s">
        <v>522</v>
      </c>
    </row>
    <row r="45" spans="1:2">
      <c r="A45" s="15" t="s">
        <v>326</v>
      </c>
      <c r="B45" s="15" t="s">
        <v>523</v>
      </c>
    </row>
    <row r="46" spans="1:2">
      <c r="A46" s="16" t="s">
        <v>524</v>
      </c>
      <c r="B46" s="16" t="s">
        <v>525</v>
      </c>
    </row>
    <row r="47" spans="1:2">
      <c r="A47" s="16" t="s">
        <v>526</v>
      </c>
      <c r="B47" s="16" t="s">
        <v>527</v>
      </c>
    </row>
    <row r="48" spans="1:2">
      <c r="A48" s="16" t="s">
        <v>528</v>
      </c>
      <c r="B48" s="16" t="s">
        <v>529</v>
      </c>
    </row>
    <row r="51" spans="1:2">
      <c r="A51" t="s">
        <v>530</v>
      </c>
    </row>
    <row r="53" ht="16.8" spans="1:2">
      <c r="A53" s="17" t="s">
        <v>531</v>
      </c>
    </row>
    <row r="56" ht="27" spans="1:2">
      <c r="A56" s="11" t="s">
        <v>532</v>
      </c>
    </row>
    <row r="58" spans="1:2">
      <c r="A58" s="15" t="s">
        <v>533</v>
      </c>
      <c r="B58" s="15" t="s">
        <v>534</v>
      </c>
    </row>
    <row r="59" spans="1:2">
      <c r="A59" s="16" t="s">
        <v>535</v>
      </c>
      <c r="B59" s="16" t="s">
        <v>536</v>
      </c>
    </row>
    <row r="60" spans="1:2">
      <c r="A60" s="16"/>
      <c r="B60" s="16" t="s">
        <v>537</v>
      </c>
    </row>
    <row r="61" spans="1:2">
      <c r="A61" s="16"/>
      <c r="B61" s="16" t="s">
        <v>538</v>
      </c>
    </row>
    <row r="62" spans="1:2">
      <c r="A62" s="16"/>
      <c r="B62" s="16" t="s">
        <v>539</v>
      </c>
    </row>
    <row r="63" spans="1:2">
      <c r="A63" s="16"/>
      <c r="B63" s="16" t="s">
        <v>540</v>
      </c>
    </row>
    <row r="64" spans="1:2">
      <c r="A64" s="16" t="s">
        <v>541</v>
      </c>
      <c r="B64" s="16" t="s">
        <v>542</v>
      </c>
    </row>
    <row r="65" spans="1:2">
      <c r="A65" s="16"/>
      <c r="B65" s="16" t="s">
        <v>543</v>
      </c>
    </row>
    <row r="66" spans="1:2">
      <c r="A66" s="16"/>
      <c r="B66" s="16" t="s">
        <v>544</v>
      </c>
    </row>
    <row r="67" spans="1:2">
      <c r="A67" s="16"/>
      <c r="B67" s="16" t="s">
        <v>545</v>
      </c>
    </row>
    <row r="70" ht="22.2" spans="1:2">
      <c r="A70" s="18" t="s">
        <v>546</v>
      </c>
    </row>
    <row r="72" ht="15.6" spans="1:2">
      <c r="A72" s="19" t="s">
        <v>547</v>
      </c>
    </row>
    <row r="74" ht="19.2" spans="1:2">
      <c r="A74" s="20" t="s">
        <v>548</v>
      </c>
    </row>
    <row r="75" ht="19.2" spans="1:2">
      <c r="A75" s="20" t="s">
        <v>549</v>
      </c>
    </row>
    <row r="76" ht="15.6" spans="1:2">
      <c r="A76" s="20" t="s">
        <v>550</v>
      </c>
    </row>
    <row r="80" spans="1:2">
      <c r="A80" s="21" t="s">
        <v>551</v>
      </c>
    </row>
    <row r="82" spans="1:2">
      <c r="A82" s="13" t="s">
        <v>552</v>
      </c>
      <c r="B82" s="13" t="s">
        <v>553</v>
      </c>
    </row>
    <row r="83" spans="1:2">
      <c r="A83" s="14" t="s">
        <v>554</v>
      </c>
      <c r="B83" s="14" t="s">
        <v>555</v>
      </c>
    </row>
    <row r="84" spans="1:2">
      <c r="A84" s="14" t="s">
        <v>556</v>
      </c>
      <c r="B84" s="14" t="s">
        <v>557</v>
      </c>
    </row>
    <row r="85" spans="1:2">
      <c r="A85" s="14" t="s">
        <v>558</v>
      </c>
      <c r="B85" s="14" t="s">
        <v>559</v>
      </c>
    </row>
    <row r="86" spans="1:2">
      <c r="A86" s="14" t="s">
        <v>560</v>
      </c>
      <c r="B86" s="14" t="s">
        <v>561</v>
      </c>
    </row>
  </sheetData>
  <mergeCells count="2">
    <mergeCell ref="A59:A63"/>
    <mergeCell ref="A64:A6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63"/>
  <sheetViews>
    <sheetView tabSelected="1" workbookViewId="0">
      <selection activeCell="E6" sqref="E6"/>
    </sheetView>
  </sheetViews>
  <sheetFormatPr defaultColWidth="8.88888888888889" defaultRowHeight="14.4"/>
  <cols>
    <col min="2" max="3" width="32.1111111111111" customWidth="1"/>
    <col min="4" max="4" width="20.8888888888889" customWidth="1"/>
    <col min="5" max="5" width="50.1111111111111" customWidth="1"/>
    <col min="6" max="6" width="14.1111111111111" customWidth="1"/>
    <col min="7" max="7" width="37.7777777777778" customWidth="1"/>
  </cols>
  <sheetData>
    <row r="2" spans="2:9">
      <c r="B2" s="3" t="s">
        <v>562</v>
      </c>
      <c r="C2" s="3" t="s">
        <v>563</v>
      </c>
      <c r="D2" s="3" t="s">
        <v>564</v>
      </c>
      <c r="E2" s="3" t="s">
        <v>565</v>
      </c>
      <c r="F2" s="3" t="s">
        <v>566</v>
      </c>
      <c r="G2" s="3" t="s">
        <v>567</v>
      </c>
      <c r="H2" s="3" t="s">
        <v>568</v>
      </c>
      <c r="I2" s="3" t="s">
        <v>569</v>
      </c>
    </row>
    <row r="3" spans="2:9">
      <c r="B3" s="4" t="s">
        <v>570</v>
      </c>
      <c r="C3" s="5" t="s">
        <v>571</v>
      </c>
      <c r="D3" s="5" t="s">
        <v>572</v>
      </c>
      <c r="E3" s="6" t="s">
        <v>573</v>
      </c>
      <c r="F3" s="3"/>
      <c r="G3" s="3"/>
      <c r="H3" s="3"/>
      <c r="I3" s="3"/>
    </row>
    <row r="4" spans="2:9">
      <c r="B4" s="4"/>
      <c r="C4" s="5"/>
      <c r="D4" s="5"/>
      <c r="E4" s="6" t="s">
        <v>574</v>
      </c>
      <c r="F4" s="3"/>
      <c r="G4" s="3"/>
      <c r="H4" s="3"/>
      <c r="I4" s="3"/>
    </row>
    <row r="5" spans="2:9">
      <c r="B5" s="4"/>
      <c r="C5" s="5"/>
      <c r="D5" s="5"/>
      <c r="E5" s="6" t="s">
        <v>575</v>
      </c>
      <c r="F5" s="3"/>
      <c r="G5" s="3"/>
      <c r="H5" s="3"/>
      <c r="I5" s="3"/>
    </row>
    <row r="6" spans="2:9">
      <c r="B6" s="4"/>
      <c r="C6" s="5"/>
      <c r="D6" s="5"/>
      <c r="E6" s="6" t="s">
        <v>576</v>
      </c>
      <c r="F6" s="3"/>
      <c r="G6" s="3"/>
      <c r="H6" s="3"/>
      <c r="I6" s="3"/>
    </row>
    <row r="7" spans="2:9">
      <c r="B7" s="4"/>
      <c r="C7" s="5"/>
      <c r="D7" s="5" t="s">
        <v>577</v>
      </c>
      <c r="E7" s="6" t="s">
        <v>578</v>
      </c>
      <c r="F7" s="3"/>
      <c r="G7" s="3"/>
      <c r="H7" s="3"/>
      <c r="I7" s="3"/>
    </row>
    <row r="8" spans="2:9">
      <c r="B8" s="4"/>
      <c r="C8" s="5"/>
      <c r="D8" s="5"/>
      <c r="E8" s="6" t="s">
        <v>579</v>
      </c>
      <c r="F8" s="3"/>
      <c r="G8" s="3"/>
      <c r="H8" s="3"/>
      <c r="I8" s="3"/>
    </row>
    <row r="9" spans="2:9">
      <c r="B9" s="4"/>
      <c r="C9" s="5"/>
      <c r="D9" s="5"/>
      <c r="E9" s="6" t="s">
        <v>580</v>
      </c>
      <c r="F9" s="3"/>
      <c r="G9" s="3"/>
      <c r="H9" s="3"/>
      <c r="I9" s="3"/>
    </row>
    <row r="10" spans="2:9">
      <c r="B10" s="4"/>
      <c r="C10" s="5"/>
      <c r="D10" s="5" t="s">
        <v>581</v>
      </c>
      <c r="E10" s="6" t="s">
        <v>582</v>
      </c>
      <c r="F10" s="3"/>
      <c r="G10" s="3"/>
      <c r="H10" s="3"/>
      <c r="I10" s="3"/>
    </row>
    <row r="11" spans="2:9">
      <c r="B11" s="4"/>
      <c r="C11" s="5"/>
      <c r="D11" s="5"/>
      <c r="E11" s="6" t="s">
        <v>583</v>
      </c>
      <c r="F11" s="3"/>
      <c r="G11" s="3"/>
      <c r="H11" s="3"/>
      <c r="I11" s="3"/>
    </row>
    <row r="12" spans="2:9">
      <c r="B12" s="4"/>
      <c r="C12" s="5"/>
      <c r="D12" s="5"/>
      <c r="E12" s="6" t="s">
        <v>584</v>
      </c>
      <c r="F12" s="3"/>
      <c r="G12" s="3"/>
      <c r="H12" s="3"/>
      <c r="I12" s="3"/>
    </row>
    <row r="13" spans="2:9">
      <c r="B13" s="4"/>
      <c r="C13" s="5"/>
      <c r="D13" s="5"/>
      <c r="E13" s="6" t="s">
        <v>585</v>
      </c>
      <c r="F13" s="3"/>
      <c r="G13" s="3"/>
      <c r="H13" s="3"/>
      <c r="I13" s="3"/>
    </row>
    <row r="14" spans="2:9">
      <c r="B14" s="4"/>
      <c r="C14" s="5"/>
      <c r="D14" s="5"/>
      <c r="E14" s="6" t="s">
        <v>586</v>
      </c>
      <c r="F14" s="3"/>
      <c r="G14" s="3"/>
      <c r="H14" s="3"/>
      <c r="I14" s="3"/>
    </row>
    <row r="15" spans="2:9">
      <c r="B15" s="4"/>
      <c r="C15" s="5"/>
      <c r="D15" s="5" t="s">
        <v>587</v>
      </c>
      <c r="E15" s="6" t="s">
        <v>588</v>
      </c>
      <c r="F15" s="3"/>
      <c r="G15" s="3"/>
      <c r="H15" s="3"/>
      <c r="I15" s="3"/>
    </row>
    <row r="16" spans="2:9">
      <c r="B16" s="4"/>
      <c r="C16" s="5"/>
      <c r="D16" s="5"/>
      <c r="E16" s="6" t="s">
        <v>589</v>
      </c>
      <c r="F16" s="3"/>
      <c r="G16" s="3"/>
      <c r="H16" s="3"/>
      <c r="I16" s="3"/>
    </row>
    <row r="17" spans="2:9">
      <c r="B17" s="4"/>
      <c r="C17" s="5"/>
      <c r="D17" s="5"/>
      <c r="E17" s="6" t="s">
        <v>590</v>
      </c>
      <c r="F17" s="3"/>
      <c r="G17" s="3"/>
      <c r="H17" s="3"/>
      <c r="I17" s="3"/>
    </row>
    <row r="18" spans="2:9">
      <c r="B18" s="4"/>
      <c r="C18" s="5"/>
      <c r="D18" s="5"/>
      <c r="E18" s="6" t="s">
        <v>591</v>
      </c>
      <c r="F18" s="3"/>
      <c r="G18" s="3"/>
      <c r="H18" s="3"/>
      <c r="I18" s="3"/>
    </row>
    <row r="19" spans="2:9">
      <c r="B19" s="4"/>
      <c r="C19" s="5"/>
      <c r="D19" s="5" t="s">
        <v>592</v>
      </c>
      <c r="E19" s="6" t="s">
        <v>593</v>
      </c>
      <c r="F19" s="3"/>
      <c r="G19" s="3"/>
      <c r="H19" s="3"/>
      <c r="I19" s="3"/>
    </row>
    <row r="20" spans="2:9">
      <c r="B20" s="4"/>
      <c r="C20" s="5"/>
      <c r="D20" s="5"/>
      <c r="E20" s="6" t="s">
        <v>594</v>
      </c>
      <c r="F20" s="3"/>
      <c r="G20" s="3"/>
      <c r="H20" s="3"/>
      <c r="I20" s="3"/>
    </row>
    <row r="21" spans="2:9">
      <c r="B21" s="4"/>
      <c r="C21" s="5" t="s">
        <v>595</v>
      </c>
      <c r="D21" s="5" t="s">
        <v>596</v>
      </c>
      <c r="E21" s="6" t="s">
        <v>597</v>
      </c>
      <c r="F21" s="3"/>
      <c r="G21" s="3"/>
      <c r="H21" s="3"/>
      <c r="I21" s="3"/>
    </row>
    <row r="22" spans="2:9">
      <c r="B22" s="4"/>
      <c r="C22" s="5"/>
      <c r="D22" s="5"/>
      <c r="E22" s="6" t="s">
        <v>598</v>
      </c>
      <c r="F22" s="3"/>
      <c r="G22" s="3"/>
      <c r="H22" s="3"/>
      <c r="I22" s="3"/>
    </row>
    <row r="23" spans="2:9">
      <c r="B23" s="4"/>
      <c r="C23" s="5"/>
      <c r="D23" s="5"/>
      <c r="E23" s="6" t="s">
        <v>599</v>
      </c>
      <c r="F23" s="3"/>
      <c r="G23" s="3"/>
      <c r="H23" s="3"/>
      <c r="I23" s="3"/>
    </row>
    <row r="24" spans="2:9">
      <c r="B24" s="4"/>
      <c r="C24" s="5"/>
      <c r="D24" s="5" t="s">
        <v>600</v>
      </c>
      <c r="E24" s="6" t="s">
        <v>601</v>
      </c>
      <c r="F24" s="3"/>
      <c r="G24" s="3"/>
      <c r="H24" s="3"/>
      <c r="I24" s="3"/>
    </row>
    <row r="25" spans="2:9">
      <c r="B25" s="4"/>
      <c r="C25" s="5"/>
      <c r="D25" s="5"/>
      <c r="E25" s="6" t="s">
        <v>602</v>
      </c>
      <c r="F25" s="3"/>
      <c r="G25" s="3"/>
      <c r="H25" s="3"/>
      <c r="I25" s="3"/>
    </row>
    <row r="26" spans="2:9">
      <c r="B26" s="4"/>
      <c r="C26" s="5"/>
      <c r="D26" s="5"/>
      <c r="E26" s="6" t="s">
        <v>603</v>
      </c>
      <c r="F26" s="3"/>
      <c r="G26" s="3"/>
      <c r="H26" s="3"/>
      <c r="I26" s="3"/>
    </row>
    <row r="27" spans="2:9">
      <c r="B27" s="4"/>
      <c r="C27" s="5"/>
      <c r="D27" s="5"/>
      <c r="E27" s="6" t="s">
        <v>604</v>
      </c>
      <c r="F27" s="3"/>
      <c r="G27" s="3"/>
      <c r="H27" s="3"/>
      <c r="I27" s="3"/>
    </row>
    <row r="28" spans="2:9">
      <c r="B28" s="4"/>
      <c r="C28" s="5"/>
      <c r="D28" s="5" t="s">
        <v>605</v>
      </c>
      <c r="E28" s="6" t="s">
        <v>606</v>
      </c>
      <c r="F28" s="3"/>
      <c r="G28" s="3"/>
      <c r="H28" s="3"/>
      <c r="I28" s="3"/>
    </row>
    <row r="29" spans="2:9">
      <c r="B29" s="4"/>
      <c r="C29" s="5"/>
      <c r="D29" s="5"/>
      <c r="E29" s="6" t="s">
        <v>607</v>
      </c>
      <c r="F29" s="3"/>
      <c r="G29" s="3"/>
      <c r="H29" s="3"/>
      <c r="I29" s="3"/>
    </row>
    <row r="30" spans="2:9">
      <c r="B30" s="4"/>
      <c r="C30" s="5"/>
      <c r="D30" s="5"/>
      <c r="E30" s="6" t="s">
        <v>608</v>
      </c>
      <c r="F30" s="3"/>
      <c r="G30" s="3"/>
      <c r="H30" s="3"/>
      <c r="I30" s="3"/>
    </row>
    <row r="31" spans="2:9">
      <c r="B31" s="4"/>
      <c r="C31" s="5"/>
      <c r="D31" s="5"/>
      <c r="E31" s="6" t="s">
        <v>609</v>
      </c>
      <c r="F31" s="3"/>
      <c r="G31" s="3"/>
      <c r="H31" s="3"/>
      <c r="I31" s="3"/>
    </row>
    <row r="32" spans="2:9">
      <c r="B32" s="4"/>
      <c r="C32" s="5"/>
      <c r="D32" s="5"/>
      <c r="E32" s="6" t="s">
        <v>610</v>
      </c>
      <c r="F32" s="3"/>
      <c r="G32" s="3"/>
      <c r="H32" s="3"/>
      <c r="I32" s="3"/>
    </row>
    <row r="33" spans="2:9">
      <c r="B33" s="4"/>
      <c r="C33" s="5"/>
      <c r="D33" s="5"/>
      <c r="E33" s="6" t="s">
        <v>611</v>
      </c>
      <c r="F33" s="3"/>
      <c r="G33" s="3"/>
      <c r="H33" s="3"/>
      <c r="I33" s="3"/>
    </row>
    <row r="34" ht="19.2" spans="2:9">
      <c r="B34" s="4"/>
      <c r="C34" s="5"/>
      <c r="D34" s="5" t="s">
        <v>612</v>
      </c>
      <c r="E34" s="6" t="s">
        <v>613</v>
      </c>
      <c r="F34" s="3"/>
      <c r="G34" s="3"/>
      <c r="H34" s="3"/>
      <c r="I34" s="3"/>
    </row>
    <row r="35" ht="19.2" spans="2:9">
      <c r="B35" s="4"/>
      <c r="C35" s="5"/>
      <c r="D35" s="5"/>
      <c r="E35" s="6" t="s">
        <v>614</v>
      </c>
      <c r="F35" s="3"/>
      <c r="G35" s="3"/>
      <c r="H35" s="3"/>
      <c r="I35" s="3"/>
    </row>
    <row r="36" spans="2:9">
      <c r="B36" s="4"/>
      <c r="C36" s="5"/>
      <c r="D36" s="5"/>
      <c r="E36" s="6" t="s">
        <v>615</v>
      </c>
      <c r="F36" s="3"/>
      <c r="G36" s="3"/>
      <c r="H36" s="3"/>
      <c r="I36" s="3"/>
    </row>
    <row r="37" spans="2:9">
      <c r="B37" s="4"/>
      <c r="C37" s="5"/>
      <c r="D37" s="5"/>
      <c r="E37" s="6" t="s">
        <v>616</v>
      </c>
      <c r="F37" s="3"/>
      <c r="G37" s="3"/>
      <c r="H37" s="3"/>
      <c r="I37" s="3"/>
    </row>
    <row r="38" spans="2:9">
      <c r="B38" s="4"/>
      <c r="C38" s="5" t="s">
        <v>617</v>
      </c>
      <c r="D38" s="5" t="s">
        <v>618</v>
      </c>
      <c r="E38" s="6" t="s">
        <v>619</v>
      </c>
      <c r="F38" s="3"/>
      <c r="G38" s="3"/>
      <c r="H38" s="3"/>
      <c r="I38" s="3"/>
    </row>
    <row r="39" ht="19.2" spans="2:9">
      <c r="B39" s="4"/>
      <c r="C39" s="5"/>
      <c r="D39" s="5"/>
      <c r="E39" s="6" t="s">
        <v>620</v>
      </c>
      <c r="F39" s="3"/>
      <c r="G39" s="3"/>
      <c r="H39" s="3"/>
      <c r="I39" s="3"/>
    </row>
    <row r="40" spans="2:9">
      <c r="B40" s="4"/>
      <c r="C40" s="5"/>
      <c r="D40" s="5"/>
      <c r="E40" s="6" t="s">
        <v>621</v>
      </c>
      <c r="F40" s="3"/>
      <c r="G40" s="3"/>
      <c r="H40" s="3"/>
      <c r="I40" s="3"/>
    </row>
    <row r="41" spans="2:9">
      <c r="B41" s="4"/>
      <c r="C41" s="5"/>
      <c r="D41" s="5"/>
      <c r="E41" s="6" t="s">
        <v>622</v>
      </c>
      <c r="F41" s="3"/>
      <c r="G41" s="3"/>
      <c r="H41" s="3"/>
      <c r="I41" s="3"/>
    </row>
    <row r="42" spans="2:9">
      <c r="B42" s="4"/>
      <c r="C42" s="5"/>
      <c r="D42" s="5"/>
      <c r="E42" s="6" t="s">
        <v>623</v>
      </c>
      <c r="F42" s="3"/>
      <c r="G42" s="3"/>
      <c r="H42" s="3"/>
      <c r="I42" s="3"/>
    </row>
    <row r="43" spans="2:9">
      <c r="B43" s="4"/>
      <c r="C43" s="5"/>
      <c r="D43" s="5"/>
      <c r="E43" s="6" t="s">
        <v>624</v>
      </c>
      <c r="F43" s="3"/>
      <c r="G43" s="3"/>
      <c r="H43" s="3"/>
      <c r="I43" s="3"/>
    </row>
    <row r="44" ht="19.2" spans="2:9">
      <c r="B44" s="4"/>
      <c r="C44" s="5"/>
      <c r="D44" s="5" t="s">
        <v>625</v>
      </c>
      <c r="E44" s="6" t="s">
        <v>626</v>
      </c>
      <c r="F44" s="3"/>
      <c r="G44" s="3"/>
      <c r="H44" s="3"/>
      <c r="I44" s="3"/>
    </row>
    <row r="45" ht="19.2" spans="2:9">
      <c r="B45" s="4"/>
      <c r="C45" s="5"/>
      <c r="D45" s="5"/>
      <c r="E45" s="6" t="s">
        <v>627</v>
      </c>
      <c r="F45" s="3"/>
      <c r="G45" s="3"/>
      <c r="H45" s="3"/>
      <c r="I45" s="3"/>
    </row>
    <row r="46" spans="2:9">
      <c r="B46" s="4"/>
      <c r="C46" s="5"/>
      <c r="D46" s="5"/>
      <c r="E46" s="6" t="s">
        <v>628</v>
      </c>
      <c r="F46" s="3"/>
      <c r="G46" s="3"/>
      <c r="H46" s="3"/>
      <c r="I46" s="3"/>
    </row>
    <row r="47" spans="2:9">
      <c r="B47" s="4"/>
      <c r="C47" s="5"/>
      <c r="D47" s="5"/>
      <c r="E47" s="6" t="s">
        <v>629</v>
      </c>
      <c r="F47" s="3"/>
      <c r="G47" s="3"/>
      <c r="H47" s="3"/>
      <c r="I47" s="3"/>
    </row>
    <row r="48" ht="19.2" spans="2:9">
      <c r="B48" s="4"/>
      <c r="C48" s="5"/>
      <c r="D48" s="5" t="s">
        <v>630</v>
      </c>
      <c r="E48" s="6" t="s">
        <v>631</v>
      </c>
      <c r="F48" s="3"/>
      <c r="G48" s="3"/>
      <c r="H48" s="3"/>
      <c r="I48" s="3"/>
    </row>
    <row r="49" ht="15.6" spans="2:9">
      <c r="B49" s="4"/>
      <c r="C49" s="5"/>
      <c r="D49" s="5"/>
      <c r="E49" s="6" t="s">
        <v>632</v>
      </c>
      <c r="F49" s="3"/>
      <c r="G49" s="3"/>
      <c r="H49" s="3"/>
      <c r="I49" s="3"/>
    </row>
    <row r="50" ht="19.2" spans="2:9">
      <c r="B50" s="4"/>
      <c r="C50" s="5"/>
      <c r="D50" s="5" t="s">
        <v>633</v>
      </c>
      <c r="E50" s="6" t="s">
        <v>634</v>
      </c>
      <c r="F50" s="3"/>
      <c r="G50" s="3"/>
      <c r="H50" s="3"/>
      <c r="I50" s="3"/>
    </row>
    <row r="51" ht="19.2" spans="2:9">
      <c r="B51" s="4"/>
      <c r="C51" s="5"/>
      <c r="D51" s="5"/>
      <c r="E51" s="6" t="s">
        <v>635</v>
      </c>
      <c r="F51" s="3"/>
      <c r="G51" s="3"/>
      <c r="H51" s="3"/>
      <c r="I51" s="3"/>
    </row>
    <row r="52" ht="19.2" spans="2:9">
      <c r="B52" s="4"/>
      <c r="C52" s="5"/>
      <c r="D52" s="5"/>
      <c r="E52" s="6" t="s">
        <v>636</v>
      </c>
      <c r="F52" s="3"/>
      <c r="G52" s="3"/>
      <c r="H52" s="3"/>
      <c r="I52" s="3"/>
    </row>
    <row r="53" ht="19.2" spans="2:9">
      <c r="B53" s="4"/>
      <c r="C53" s="5"/>
      <c r="D53" s="5" t="s">
        <v>637</v>
      </c>
      <c r="E53" s="6" t="s">
        <v>638</v>
      </c>
      <c r="F53" s="3"/>
      <c r="G53" s="3"/>
      <c r="H53" s="3"/>
      <c r="I53" s="3"/>
    </row>
    <row r="54" ht="19.2" spans="2:9">
      <c r="B54" s="4"/>
      <c r="C54" s="5"/>
      <c r="D54" s="5"/>
      <c r="E54" s="6" t="s">
        <v>639</v>
      </c>
      <c r="F54" s="3"/>
      <c r="G54" s="3"/>
      <c r="H54" s="3"/>
      <c r="I54" s="3"/>
    </row>
    <row r="55" ht="19.2" spans="2:9">
      <c r="B55" s="4"/>
      <c r="C55" s="5"/>
      <c r="D55" s="5"/>
      <c r="E55" s="6" t="s">
        <v>640</v>
      </c>
      <c r="F55" s="3"/>
      <c r="G55" s="3"/>
      <c r="H55" s="3"/>
      <c r="I55" s="3"/>
    </row>
    <row r="56" spans="2:9">
      <c r="B56" s="4"/>
      <c r="C56" s="5"/>
      <c r="D56" s="5"/>
      <c r="E56" s="6" t="s">
        <v>641</v>
      </c>
      <c r="F56" s="3"/>
      <c r="G56" s="3"/>
      <c r="H56" s="3"/>
      <c r="I56" s="3"/>
    </row>
    <row r="57" spans="2:9">
      <c r="B57" s="4"/>
      <c r="C57" s="5"/>
      <c r="D57" s="5"/>
      <c r="E57" s="6" t="s">
        <v>642</v>
      </c>
      <c r="F57" s="3"/>
      <c r="G57" s="3"/>
      <c r="H57" s="3"/>
      <c r="I57" s="3"/>
    </row>
    <row r="58" ht="15.6" spans="2:9">
      <c r="B58" s="4"/>
      <c r="C58" s="5"/>
      <c r="D58" s="5" t="s">
        <v>643</v>
      </c>
      <c r="E58" s="6" t="s">
        <v>644</v>
      </c>
      <c r="F58" s="3"/>
      <c r="G58" s="3"/>
      <c r="H58" s="3"/>
      <c r="I58" s="3"/>
    </row>
    <row r="59" ht="15.6" spans="2:9">
      <c r="B59" s="4"/>
      <c r="C59" s="5"/>
      <c r="D59" s="5"/>
      <c r="E59" s="6" t="s">
        <v>645</v>
      </c>
      <c r="F59" s="3"/>
      <c r="G59" s="3"/>
      <c r="H59" s="3"/>
      <c r="I59" s="3"/>
    </row>
    <row r="60" ht="15.6" spans="2:9">
      <c r="B60" s="4"/>
      <c r="C60" s="5"/>
      <c r="D60" s="5"/>
      <c r="E60" s="6" t="s">
        <v>646</v>
      </c>
      <c r="F60" s="3"/>
      <c r="G60" s="3"/>
      <c r="H60" s="3"/>
      <c r="I60" s="3"/>
    </row>
    <row r="61" ht="19.2" spans="2:9">
      <c r="B61" s="4"/>
      <c r="C61" s="5"/>
      <c r="D61" s="5"/>
      <c r="E61" s="6" t="s">
        <v>647</v>
      </c>
      <c r="F61" s="3"/>
      <c r="G61" s="3"/>
      <c r="H61" s="3"/>
      <c r="I61" s="3"/>
    </row>
    <row r="62" spans="2:9">
      <c r="B62" s="4"/>
      <c r="C62" s="5"/>
      <c r="D62" s="5"/>
      <c r="E62" s="6" t="s">
        <v>648</v>
      </c>
      <c r="F62" s="3"/>
      <c r="G62" s="3"/>
      <c r="H62" s="3"/>
      <c r="I62" s="3"/>
    </row>
    <row r="63" spans="2:9">
      <c r="B63" s="4"/>
      <c r="C63" s="5"/>
      <c r="D63" s="5"/>
      <c r="E63" s="6" t="s">
        <v>649</v>
      </c>
      <c r="F63" s="3"/>
      <c r="G63" s="3"/>
      <c r="H63" s="3"/>
      <c r="I63" s="3"/>
    </row>
  </sheetData>
  <mergeCells count="19">
    <mergeCell ref="B3:B63"/>
    <mergeCell ref="C3:C20"/>
    <mergeCell ref="C21:C37"/>
    <mergeCell ref="C38:C63"/>
    <mergeCell ref="D3:D6"/>
    <mergeCell ref="D7:D9"/>
    <mergeCell ref="D10:D14"/>
    <mergeCell ref="D15:D18"/>
    <mergeCell ref="D19:D20"/>
    <mergeCell ref="D21:D23"/>
    <mergeCell ref="D24:D27"/>
    <mergeCell ref="D28:D33"/>
    <mergeCell ref="D34:D37"/>
    <mergeCell ref="D38:D43"/>
    <mergeCell ref="D44:D47"/>
    <mergeCell ref="D48:D49"/>
    <mergeCell ref="D50:D52"/>
    <mergeCell ref="D53:D57"/>
    <mergeCell ref="D58:D6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0"/>
  <sheetViews>
    <sheetView workbookViewId="0">
      <selection activeCell="J25" sqref="J25"/>
    </sheetView>
  </sheetViews>
  <sheetFormatPr defaultColWidth="8.88888888888889" defaultRowHeight="14.4" outlineLevelCol="2"/>
  <sheetData>
    <row r="1" spans="1:1">
      <c r="A1" t="s">
        <v>650</v>
      </c>
    </row>
    <row r="2" spans="1:1">
      <c r="A2" t="s">
        <v>651</v>
      </c>
    </row>
    <row r="4" spans="1:1">
      <c r="A4" t="s">
        <v>652</v>
      </c>
    </row>
    <row r="6" spans="1:1">
      <c r="A6" t="s">
        <v>653</v>
      </c>
    </row>
    <row r="7" spans="1:1">
      <c r="A7" t="s">
        <v>654</v>
      </c>
    </row>
    <row r="9" spans="1:1">
      <c r="A9" t="s">
        <v>655</v>
      </c>
    </row>
    <row r="11" spans="1:1">
      <c r="A11" t="s">
        <v>656</v>
      </c>
    </row>
    <row r="12" spans="1:1">
      <c r="A12" t="s">
        <v>657</v>
      </c>
    </row>
    <row r="13" spans="1:1">
      <c r="A13" t="s">
        <v>658</v>
      </c>
    </row>
    <row r="15" spans="1:1">
      <c r="A15" t="s">
        <v>659</v>
      </c>
    </row>
    <row r="17" spans="1:1">
      <c r="A17" t="s">
        <v>660</v>
      </c>
    </row>
    <row r="19" spans="1:1">
      <c r="A19" t="s">
        <v>661</v>
      </c>
    </row>
    <row r="21" spans="1:1">
      <c r="A21" t="s">
        <v>662</v>
      </c>
    </row>
    <row r="23" spans="1:1">
      <c r="A23" t="s">
        <v>663</v>
      </c>
    </row>
    <row r="24" spans="1:1">
      <c r="A24" t="s">
        <v>664</v>
      </c>
    </row>
    <row r="25" spans="1:1">
      <c r="A25" t="s">
        <v>665</v>
      </c>
    </row>
    <row r="26" spans="1:1">
      <c r="A26" t="s">
        <v>666</v>
      </c>
    </row>
    <row r="27" spans="1:1">
      <c r="A27" t="s">
        <v>667</v>
      </c>
    </row>
    <row r="28" spans="1:1">
      <c r="A28" t="s">
        <v>668</v>
      </c>
    </row>
    <row r="29" spans="1:1">
      <c r="A29" t="s">
        <v>669</v>
      </c>
    </row>
    <row r="30" spans="1:1">
      <c r="A30" t="s">
        <v>670</v>
      </c>
    </row>
    <row r="31" spans="1:1">
      <c r="A31" t="s">
        <v>671</v>
      </c>
    </row>
    <row r="32" spans="1:1">
      <c r="A32" t="s">
        <v>672</v>
      </c>
    </row>
    <row r="33" spans="1:2">
      <c r="A33" t="s">
        <v>455</v>
      </c>
    </row>
    <row r="34" spans="1:2">
      <c r="A34" t="s">
        <v>673</v>
      </c>
    </row>
    <row r="35" spans="1:2">
      <c r="A35" t="s">
        <v>674</v>
      </c>
    </row>
    <row r="36" spans="1:2">
      <c r="A36" t="s">
        <v>175</v>
      </c>
      <c r="B36" t="s">
        <v>232</v>
      </c>
    </row>
    <row r="37" spans="1:2">
      <c r="A37" t="s">
        <v>332</v>
      </c>
      <c r="B37" t="s">
        <v>675</v>
      </c>
    </row>
    <row r="38" spans="1:2">
      <c r="A38" t="s">
        <v>342</v>
      </c>
      <c r="B38" t="s">
        <v>676</v>
      </c>
    </row>
    <row r="39" spans="1:2">
      <c r="A39" t="s">
        <v>344</v>
      </c>
      <c r="B39" t="s">
        <v>677</v>
      </c>
    </row>
    <row r="40" spans="1:2">
      <c r="A40" t="s">
        <v>346</v>
      </c>
      <c r="B40" t="s">
        <v>678</v>
      </c>
    </row>
    <row r="41" spans="1:2">
      <c r="A41" t="s">
        <v>340</v>
      </c>
      <c r="B41" t="s">
        <v>679</v>
      </c>
    </row>
    <row r="42" spans="1:2">
      <c r="A42" t="s">
        <v>680</v>
      </c>
    </row>
    <row r="43" spans="1:2">
      <c r="A43" t="s">
        <v>681</v>
      </c>
    </row>
    <row r="44" spans="1:2">
      <c r="A44" t="s">
        <v>682</v>
      </c>
    </row>
    <row r="46" spans="1:2">
      <c r="A46" t="s">
        <v>683</v>
      </c>
    </row>
    <row r="48" spans="1:2">
      <c r="A48" t="s">
        <v>684</v>
      </c>
      <c r="B48" t="s">
        <v>685</v>
      </c>
    </row>
    <row r="49" spans="1:3">
      <c r="A49" t="s">
        <v>686</v>
      </c>
      <c r="B49" t="s">
        <v>687</v>
      </c>
    </row>
    <row r="50" spans="1:3">
      <c r="A50" t="s">
        <v>688</v>
      </c>
      <c r="B50" t="s">
        <v>689</v>
      </c>
    </row>
    <row r="51" spans="1:3">
      <c r="A51" t="s">
        <v>690</v>
      </c>
      <c r="B51" t="s">
        <v>691</v>
      </c>
    </row>
    <row r="52" spans="1:3">
      <c r="A52" s="1">
        <v>46056</v>
      </c>
      <c r="B52" t="s">
        <v>692</v>
      </c>
    </row>
    <row r="53" spans="1:3">
      <c r="A53" t="s">
        <v>693</v>
      </c>
      <c r="B53" t="s">
        <v>694</v>
      </c>
    </row>
    <row r="54" spans="1:3">
      <c r="A54" t="s">
        <v>695</v>
      </c>
    </row>
    <row r="55" spans="1:3">
      <c r="A55" t="s">
        <v>696</v>
      </c>
    </row>
    <row r="57" spans="1:3">
      <c r="A57" t="s">
        <v>697</v>
      </c>
    </row>
    <row r="59" spans="1:3">
      <c r="A59" t="s">
        <v>698</v>
      </c>
      <c r="B59" t="s">
        <v>342</v>
      </c>
      <c r="C59" t="s">
        <v>699</v>
      </c>
    </row>
    <row r="60" spans="1:3">
      <c r="A60" t="s">
        <v>700</v>
      </c>
      <c r="B60" t="s">
        <v>700</v>
      </c>
      <c r="C60" t="s">
        <v>701</v>
      </c>
    </row>
    <row r="61" spans="1:3">
      <c r="A61" t="s">
        <v>700</v>
      </c>
      <c r="B61" t="s">
        <v>702</v>
      </c>
      <c r="C61" t="s">
        <v>703</v>
      </c>
    </row>
    <row r="62" spans="1:3">
      <c r="A62" t="s">
        <v>702</v>
      </c>
      <c r="B62" t="s">
        <v>700</v>
      </c>
      <c r="C62" t="s">
        <v>704</v>
      </c>
    </row>
    <row r="63" spans="1:3">
      <c r="A63" t="s">
        <v>702</v>
      </c>
      <c r="B63" t="s">
        <v>702</v>
      </c>
      <c r="C63" t="s">
        <v>705</v>
      </c>
    </row>
    <row r="64" spans="1:3">
      <c r="A64" t="s">
        <v>706</v>
      </c>
    </row>
    <row r="65" spans="1:2">
      <c r="A65" t="s">
        <v>707</v>
      </c>
    </row>
    <row r="66" spans="1:2">
      <c r="A66" t="s">
        <v>708</v>
      </c>
    </row>
    <row r="67" spans="1:2">
      <c r="A67" t="s">
        <v>709</v>
      </c>
    </row>
    <row r="68" spans="1:2">
      <c r="A68" t="s">
        <v>710</v>
      </c>
    </row>
    <row r="70" spans="1:2">
      <c r="A70" t="s">
        <v>711</v>
      </c>
    </row>
    <row r="72" spans="1:2">
      <c r="A72" t="s">
        <v>712</v>
      </c>
      <c r="B72" t="s">
        <v>685</v>
      </c>
    </row>
    <row r="73" spans="1:2">
      <c r="A73" s="1">
        <v>46024</v>
      </c>
      <c r="B73" t="s">
        <v>713</v>
      </c>
    </row>
    <row r="74" spans="1:2">
      <c r="A74" s="1">
        <v>46086</v>
      </c>
      <c r="B74" t="s">
        <v>714</v>
      </c>
    </row>
    <row r="75" spans="1:2">
      <c r="A75" s="1">
        <v>46183</v>
      </c>
      <c r="B75" t="s">
        <v>715</v>
      </c>
    </row>
    <row r="76" spans="1:2">
      <c r="A76" t="s">
        <v>716</v>
      </c>
      <c r="B76" t="s">
        <v>717</v>
      </c>
    </row>
    <row r="77" spans="1:2">
      <c r="A77" t="s">
        <v>718</v>
      </c>
    </row>
    <row r="79" spans="1:2">
      <c r="A79" t="s">
        <v>719</v>
      </c>
    </row>
    <row r="81" spans="1:2">
      <c r="A81" t="s">
        <v>720</v>
      </c>
    </row>
    <row r="83" spans="1:2">
      <c r="A83" t="e" cm="1">
        <f t="array" ref="A83">强趋势启动信号</f>
        <v>#NAME?</v>
      </c>
    </row>
    <row r="85" spans="1:2">
      <c r="A85" t="s">
        <v>721</v>
      </c>
    </row>
    <row r="86" spans="1:2">
      <c r="A86" t="s">
        <v>722</v>
      </c>
    </row>
    <row r="88" spans="1:2">
      <c r="A88" t="s">
        <v>723</v>
      </c>
    </row>
    <row r="90" spans="1:2">
      <c r="A90" t="s">
        <v>175</v>
      </c>
      <c r="B90" t="s">
        <v>483</v>
      </c>
    </row>
    <row r="91" spans="1:2">
      <c r="A91" t="s">
        <v>724</v>
      </c>
      <c r="B91" t="s">
        <v>725</v>
      </c>
    </row>
    <row r="92" spans="1:2">
      <c r="A92" t="s">
        <v>726</v>
      </c>
      <c r="B92" t="s">
        <v>727</v>
      </c>
    </row>
    <row r="93" spans="1:2">
      <c r="A93" t="s">
        <v>728</v>
      </c>
      <c r="B93" t="s">
        <v>729</v>
      </c>
    </row>
    <row r="94" spans="1:2">
      <c r="A94" t="s">
        <v>213</v>
      </c>
      <c r="B94" t="s">
        <v>730</v>
      </c>
    </row>
    <row r="95" spans="1:2">
      <c r="A95" t="s">
        <v>731</v>
      </c>
      <c r="B95" t="s">
        <v>732</v>
      </c>
    </row>
    <row r="96" spans="1:2">
      <c r="A96" t="s">
        <v>733</v>
      </c>
    </row>
    <row r="97" spans="1:2">
      <c r="A97" t="s">
        <v>734</v>
      </c>
    </row>
    <row r="99" spans="1:2">
      <c r="A99" t="s">
        <v>735</v>
      </c>
    </row>
    <row r="101" spans="1:2">
      <c r="A101" t="s">
        <v>155</v>
      </c>
      <c r="B101" t="s">
        <v>736</v>
      </c>
    </row>
    <row r="102" spans="1:2">
      <c r="A102" t="s">
        <v>737</v>
      </c>
      <c r="B102" s="2">
        <v>0.3</v>
      </c>
    </row>
    <row r="103" spans="1:2">
      <c r="A103" t="s">
        <v>738</v>
      </c>
      <c r="B103" s="2">
        <v>0.25</v>
      </c>
    </row>
    <row r="104" spans="1:2">
      <c r="A104" t="s">
        <v>739</v>
      </c>
      <c r="B104" s="2">
        <v>0.15</v>
      </c>
    </row>
    <row r="105" spans="1:2">
      <c r="A105" t="s">
        <v>213</v>
      </c>
      <c r="B105" s="2">
        <v>0.15</v>
      </c>
    </row>
    <row r="106" spans="1:2">
      <c r="A106" t="s">
        <v>740</v>
      </c>
      <c r="B106" s="2">
        <v>0.15</v>
      </c>
    </row>
    <row r="107" spans="1:2">
      <c r="A107" t="s">
        <v>741</v>
      </c>
    </row>
    <row r="108" spans="1:2">
      <c r="A108" t="s">
        <v>742</v>
      </c>
      <c r="B108" t="s">
        <v>743</v>
      </c>
    </row>
    <row r="109" spans="1:2">
      <c r="A109" t="s">
        <v>744</v>
      </c>
      <c r="B109" t="s">
        <v>745</v>
      </c>
    </row>
    <row r="110" spans="1:2">
      <c r="A110" t="s">
        <v>746</v>
      </c>
      <c r="B110" t="s">
        <v>747</v>
      </c>
    </row>
    <row r="111" spans="1:2">
      <c r="A111" t="s">
        <v>748</v>
      </c>
      <c r="B111" t="s">
        <v>749</v>
      </c>
    </row>
    <row r="112" spans="1:2">
      <c r="A112" t="s">
        <v>750</v>
      </c>
      <c r="B112" t="s">
        <v>751</v>
      </c>
    </row>
    <row r="113" spans="1:2">
      <c r="A113" t="s">
        <v>752</v>
      </c>
      <c r="B113" t="s">
        <v>753</v>
      </c>
    </row>
    <row r="114" spans="1:2">
      <c r="A114" t="s">
        <v>754</v>
      </c>
    </row>
    <row r="116" spans="1:2">
      <c r="A116" t="s">
        <v>755</v>
      </c>
    </row>
    <row r="118" spans="1:2">
      <c r="A118" t="s">
        <v>756</v>
      </c>
      <c r="B118" t="s">
        <v>294</v>
      </c>
    </row>
    <row r="119" spans="1:2">
      <c r="A119" t="s">
        <v>757</v>
      </c>
      <c r="B119" t="s">
        <v>758</v>
      </c>
    </row>
    <row r="120" spans="1:2">
      <c r="A120" t="s">
        <v>759</v>
      </c>
      <c r="B120" t="s">
        <v>760</v>
      </c>
    </row>
    <row r="121" spans="1:2">
      <c r="A121" t="s">
        <v>761</v>
      </c>
      <c r="B121" t="s">
        <v>762</v>
      </c>
    </row>
    <row r="122" spans="1:2">
      <c r="A122" t="s">
        <v>763</v>
      </c>
      <c r="B122" t="s">
        <v>764</v>
      </c>
    </row>
    <row r="123" spans="1:2">
      <c r="A123" t="s">
        <v>765</v>
      </c>
      <c r="B123" t="s">
        <v>766</v>
      </c>
    </row>
    <row r="124" spans="1:2">
      <c r="A124" t="s">
        <v>767</v>
      </c>
      <c r="B124" t="s">
        <v>768</v>
      </c>
    </row>
    <row r="126" spans="1:2">
      <c r="A126" t="s">
        <v>769</v>
      </c>
    </row>
    <row r="128" spans="1:2">
      <c r="A128" t="s">
        <v>770</v>
      </c>
    </row>
    <row r="129" spans="1:1">
      <c r="A129" t="s">
        <v>771</v>
      </c>
    </row>
    <row r="130" spans="1:1">
      <c r="A130" t="s">
        <v>772</v>
      </c>
    </row>
    <row r="131" spans="1:1">
      <c r="A131" t="e" cm="1">
        <f t="array" ref="A131">-ts_code</f>
        <v>#NAME?</v>
      </c>
    </row>
    <row r="132" spans="1:1">
      <c r="A132" t="e" cm="1">
        <f t="array" ref="A132">-trade_date</f>
        <v>#NAME?</v>
      </c>
    </row>
    <row r="133" spans="1:1">
      <c r="A133" t="e" cm="1">
        <f t="array" ref="A133">-close</f>
        <v>#NAME?</v>
      </c>
    </row>
    <row r="134" spans="1:1">
      <c r="A134" t="e" cm="1">
        <f t="array" ref="A134">-volume</f>
        <v>#NAME?</v>
      </c>
    </row>
    <row r="135" spans="1:1">
      <c r="A135" t="e" cm="1">
        <f t="array" ref="A135">-turnover</f>
        <v>#NAME?</v>
      </c>
    </row>
    <row r="136" spans="1:1">
      <c r="A136" t="e" cm="1">
        <f t="array" ref="A136">-change_pct</f>
        <v>#NAME?</v>
      </c>
    </row>
    <row r="137" spans="1:1">
      <c r="A137" t="e" cm="1">
        <f t="array" ref="A137">-turnover_rate</f>
        <v>#NAME?</v>
      </c>
    </row>
    <row r="138" spans="1:1">
      <c r="A138" t="s">
        <v>773</v>
      </c>
    </row>
    <row r="139" spans="1:1">
      <c r="A139" t="s">
        <v>774</v>
      </c>
    </row>
    <row r="140" spans="1:1">
      <c r="A140" t="e" cm="1">
        <f t="array" ref="A140">-industry_code</f>
        <v>#NAME?</v>
      </c>
    </row>
    <row r="141" spans="1:1">
      <c r="A141" t="e" cm="1">
        <f t="array" ref="A141">-trade_date</f>
        <v>#NAME?</v>
      </c>
    </row>
    <row r="142" spans="1:1">
      <c r="A142" t="e" cm="1">
        <f t="array" ref="A142">-total_volume</f>
        <v>#NAME?</v>
      </c>
    </row>
    <row r="143" spans="1:1">
      <c r="A143" t="e" cm="1">
        <f t="array" ref="A143">-total_turnover</f>
        <v>#NAME?</v>
      </c>
    </row>
    <row r="144" spans="1:1">
      <c r="A144" t="e" cm="1">
        <f t="array" ref="A144">-avg_change_pct</f>
        <v>#NAME?</v>
      </c>
    </row>
    <row r="145" spans="1:1">
      <c r="A145" t="e" cm="1">
        <f t="array" ref="A145">-rising_ratio</f>
        <v>#NAME?</v>
      </c>
    </row>
    <row r="146" spans="1:1">
      <c r="A146" t="e" cm="1">
        <f t="array" ref="A146">-volume_ratio_20d</f>
        <v>#NAME?</v>
      </c>
    </row>
    <row r="147" spans="1:1">
      <c r="A147" t="s">
        <v>775</v>
      </c>
    </row>
    <row r="148" spans="1:1">
      <c r="A148" t="s">
        <v>776</v>
      </c>
    </row>
    <row r="149" spans="1:1">
      <c r="A149" t="e" cm="1">
        <f t="array" ref="A149">-industry_code</f>
        <v>#NAME?</v>
      </c>
    </row>
    <row r="150" spans="1:1">
      <c r="A150" t="e" cm="1">
        <f t="array" ref="A150">-trade_date</f>
        <v>#NAME?</v>
      </c>
    </row>
    <row r="151" spans="1:1">
      <c r="A151" t="e" cm="1">
        <f t="array" ref="A151">-score</f>
        <v>#NAME?</v>
      </c>
    </row>
    <row r="152" spans="1:1">
      <c r="A152" t="e" cm="1">
        <f t="array" ref="A152">-status</f>
        <v>#NAME?</v>
      </c>
    </row>
    <row r="153" spans="1:1">
      <c r="A153" t="e" cm="1">
        <f t="array" ref="A153">-signal_type</f>
        <v>#NAME?</v>
      </c>
    </row>
    <row r="154" spans="1:1">
      <c r="A154" t="s">
        <v>777</v>
      </c>
    </row>
    <row r="155" spans="1:1">
      <c r="A155" t="s">
        <v>778</v>
      </c>
    </row>
    <row r="156" spans="1:1">
      <c r="A156" t="s">
        <v>779</v>
      </c>
    </row>
    <row r="157" spans="1:1">
      <c r="A157" t="s">
        <v>780</v>
      </c>
    </row>
    <row r="158" spans="1:1">
      <c r="A158" t="s">
        <v>781</v>
      </c>
    </row>
    <row r="159" spans="1:1">
      <c r="A159" t="s">
        <v>782</v>
      </c>
    </row>
    <row r="160" spans="1:1">
      <c r="A160" t="s">
        <v>783</v>
      </c>
    </row>
    <row r="161" spans="1:1">
      <c r="A161" t="s">
        <v>784</v>
      </c>
    </row>
    <row r="162" spans="1:1">
      <c r="A162" t="s">
        <v>785</v>
      </c>
    </row>
    <row r="163" spans="1:1">
      <c r="A163" t="s">
        <v>786</v>
      </c>
    </row>
    <row r="164" spans="1:1">
      <c r="A164" t="s">
        <v>787</v>
      </c>
    </row>
    <row r="165" spans="1:1">
      <c r="A165" t="s">
        <v>788</v>
      </c>
    </row>
    <row r="166" spans="1:1">
      <c r="A166" t="s">
        <v>789</v>
      </c>
    </row>
    <row r="167" spans="1:1">
      <c r="A167" t="s">
        <v>790</v>
      </c>
    </row>
    <row r="169" spans="1:1">
      <c r="A169" t="s">
        <v>791</v>
      </c>
    </row>
    <row r="171" spans="1:1">
      <c r="A171" t="s">
        <v>792</v>
      </c>
    </row>
    <row r="172" spans="1:1">
      <c r="A172" t="s">
        <v>793</v>
      </c>
    </row>
    <row r="173" spans="1:1">
      <c r="A173" t="s">
        <v>794</v>
      </c>
    </row>
    <row r="174" spans="1:1">
      <c r="A174" t="s">
        <v>795</v>
      </c>
    </row>
    <row r="175" spans="1:1">
      <c r="A175" t="s">
        <v>796</v>
      </c>
    </row>
    <row r="176" spans="1:1">
      <c r="A176" t="s">
        <v>797</v>
      </c>
    </row>
    <row r="177" spans="1:1">
      <c r="A177" t="s">
        <v>798</v>
      </c>
    </row>
    <row r="178" spans="1:1">
      <c r="A178" t="s">
        <v>799</v>
      </c>
    </row>
    <row r="179" spans="1:1">
      <c r="A179" t="s">
        <v>800</v>
      </c>
    </row>
    <row r="180" spans="1:1">
      <c r="A180" t="s">
        <v>801</v>
      </c>
    </row>
    <row r="182" spans="1:1">
      <c r="A182" t="s">
        <v>802</v>
      </c>
    </row>
    <row r="184" spans="1:1">
      <c r="A184" t="s">
        <v>803</v>
      </c>
    </row>
    <row r="185" spans="1:1">
      <c r="A185" t="s">
        <v>804</v>
      </c>
    </row>
    <row r="186" spans="1:1">
      <c r="A186" t="s">
        <v>726</v>
      </c>
    </row>
    <row r="187" spans="1:1">
      <c r="A187" t="s">
        <v>805</v>
      </c>
    </row>
    <row r="188" spans="1:1">
      <c r="A188" t="s">
        <v>806</v>
      </c>
    </row>
    <row r="189" spans="1:1">
      <c r="A189" t="s">
        <v>807</v>
      </c>
    </row>
    <row r="190" spans="1:1">
      <c r="A190" t="s">
        <v>808</v>
      </c>
    </row>
    <row r="191" spans="1:1">
      <c r="A191" t="s">
        <v>809</v>
      </c>
    </row>
    <row r="192" spans="1:1">
      <c r="A192" t="s">
        <v>810</v>
      </c>
    </row>
    <row r="193" spans="1:1">
      <c r="A193" t="s">
        <v>811</v>
      </c>
    </row>
    <row r="194" spans="1:1">
      <c r="A194" t="s">
        <v>812</v>
      </c>
    </row>
    <row r="195" spans="1:1">
      <c r="A195" t="s">
        <v>813</v>
      </c>
    </row>
    <row r="196" spans="1:1">
      <c r="A196" t="s">
        <v>466</v>
      </c>
    </row>
    <row r="197" spans="1:1">
      <c r="A197" t="s">
        <v>814</v>
      </c>
    </row>
    <row r="199" spans="1:1">
      <c r="A199" t="s">
        <v>815</v>
      </c>
    </row>
    <row r="201" spans="1:1">
      <c r="A201" t="s">
        <v>816</v>
      </c>
    </row>
    <row r="203" spans="1:1">
      <c r="A203" t="s">
        <v>817</v>
      </c>
    </row>
    <row r="205" spans="1:1">
      <c r="A205" t="s">
        <v>818</v>
      </c>
    </row>
    <row r="206" spans="1:1">
      <c r="A206" t="s">
        <v>819</v>
      </c>
    </row>
    <row r="207" spans="1:1">
      <c r="A207" t="s">
        <v>820</v>
      </c>
    </row>
    <row r="208" spans="1:1">
      <c r="A208" t="s">
        <v>821</v>
      </c>
    </row>
    <row r="209" spans="1:1">
      <c r="A209" t="s">
        <v>822</v>
      </c>
    </row>
    <row r="211" spans="1:1">
      <c r="A211" t="s">
        <v>823</v>
      </c>
    </row>
    <row r="213" spans="1:1">
      <c r="A213" t="s">
        <v>824</v>
      </c>
    </row>
    <row r="214" spans="1:1">
      <c r="A214" t="s">
        <v>825</v>
      </c>
    </row>
    <row r="215" spans="1:1">
      <c r="A215" t="s">
        <v>826</v>
      </c>
    </row>
    <row r="216" spans="1:1">
      <c r="A216" t="s">
        <v>827</v>
      </c>
    </row>
    <row r="218" spans="1:1">
      <c r="A218" t="s">
        <v>828</v>
      </c>
    </row>
    <row r="220" spans="1:1">
      <c r="A220" t="s">
        <v>829</v>
      </c>
    </row>
    <row r="222" spans="1:1">
      <c r="A222" t="s">
        <v>830</v>
      </c>
    </row>
    <row r="224" spans="1:1">
      <c r="A224" t="s">
        <v>831</v>
      </c>
    </row>
    <row r="225" spans="1:1">
      <c r="A225" t="s">
        <v>832</v>
      </c>
    </row>
    <row r="226" spans="1:1">
      <c r="A226" t="s">
        <v>833</v>
      </c>
    </row>
    <row r="227" spans="1:1">
      <c r="A227" t="s">
        <v>834</v>
      </c>
    </row>
    <row r="228" spans="1:1">
      <c r="A228" t="s">
        <v>835</v>
      </c>
    </row>
    <row r="230" spans="1:1">
      <c r="A230" t="s">
        <v>836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Industry Indicators</vt:lpstr>
      <vt:lpstr>指标整理</vt:lpstr>
      <vt:lpstr>需求1—主线板块确认</vt:lpstr>
      <vt:lpstr>报表2—主线板块龙头</vt:lpstr>
      <vt:lpstr>需求3—量化主线板块</vt:lpstr>
      <vt:lpstr>AI产业数据库</vt:lpstr>
      <vt:lpstr>板块量价关系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18513233320手机用户</cp:lastModifiedBy>
  <dcterms:created xsi:type="dcterms:W3CDTF">2026-03-23T12:27:00Z</dcterms:created>
  <dcterms:modified xsi:type="dcterms:W3CDTF">2026-07-09T11:31:28Z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AAEF950C727546AB81B43776627B8638_13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